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SCORING" sheetId="3" state="visible" r:id="rId3"/>
    <sheet xmlns:r="http://schemas.openxmlformats.org/officeDocument/2006/relationships" name="RFQ_QUOTES" sheetId="4" state="visible" r:id="rId4"/>
    <sheet xmlns:r="http://schemas.openxmlformats.org/officeDocument/2006/relationships" name="FOB_D2D_CALC" sheetId="5" state="visible" r:id="rId5"/>
    <sheet xmlns:r="http://schemas.openxmlformats.org/officeDocument/2006/relationships" name="COLLECTION" sheetId="6" state="visible" r:id="rId6"/>
    <sheet xmlns:r="http://schemas.openxmlformats.org/officeDocument/2006/relationships" name="FABRICS" sheetId="7" state="visible" r:id="rId7"/>
  </sheets>
  <definedNames>
    <definedName name="_xlnm.Print_Area" localSheetId="0">'DASHBOARD'!$A$1:$J$20</definedName>
    <definedName name="_xlnm.Print_Area" localSheetId="1">'SUPPLIERS'!$A$1:$S$24</definedName>
    <definedName name="_xlnm.Print_Area" localSheetId="2">'SCORING'!$A$1:$M$32</definedName>
    <definedName name="G-FREIGHT" localSheetId="3">RFQ_QUOTES!$B$2</definedName>
    <definedName name="G-DUTY" localSheetId="3">RFQ_QUOTES!$D$2</definedName>
    <definedName name="G-QC" localSheetId="3">RFQ_QUOTES!$F$2</definedName>
    <definedName name="G-FX" localSheetId="3">RFQ_QUOTES!$H$2</definedName>
    <definedName name="G-PLATFORM" localSheetId="3">RFQ_QUOTES!$J$2</definedName>
    <definedName name="G-RETURNS" localSheetId="3">RFQ_QUOTES!$L$2</definedName>
    <definedName name="_xlnm.Print_Area" localSheetId="3">'RFQ_QUOTES'!$A$1:$T$39</definedName>
    <definedName name="_xlnm.Print_Area" localSheetId="4">'FOB_D2D_CALC'!$A$1:$L$21</definedName>
    <definedName name="_xlnm.Print_Area" localSheetId="5">'COLLECTION'!$A$1:$L$18</definedName>
    <definedName name="_xlnm.Print_Area" localSheetId="6">'FABRICS'!$A$1:$F$23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%&quot;"/>
    <numFmt numFmtId="165" formatCode="$#,##0.00"/>
    <numFmt numFmtId="166" formatCode="R$ #,##0.00"/>
    <numFmt numFmtId="167" formatCode="0.0%"/>
    <numFmt numFmtId="168" formatCode="&quot;R$&quot;#,##0.00"/>
    <numFmt numFmtId="169" formatCode="&quot;R$&quot;#,##0"/>
  </numFmts>
  <fonts count="29">
    <font>
      <name val="Calibri"/>
      <family val="2"/>
      <color theme="1"/>
      <sz val="11"/>
      <scheme val="minor"/>
    </font>
    <font>
      <name val="Cinzel"/>
      <b val="1"/>
      <color rgb="FFBFA97A"/>
      <sz val="16"/>
    </font>
    <font>
      <name val="Inter"/>
      <color rgb="FF666666"/>
      <sz val="9"/>
    </font>
    <font>
      <name val="Inter"/>
      <b val="1"/>
      <color rgb="FF666666"/>
      <sz val="8"/>
    </font>
    <font>
      <name val="Cinzel"/>
      <b val="1"/>
      <color rgb="FF0A0A0A"/>
      <sz val="20"/>
    </font>
    <font>
      <name val="Inter"/>
      <color rgb="FF666666"/>
      <sz val="8"/>
    </font>
    <font>
      <name val="Inter"/>
      <b val="1"/>
      <color rgb="FFBFA97A"/>
      <sz val="9"/>
    </font>
    <font>
      <name val="Inter"/>
      <b val="1"/>
      <color rgb="FF0A0A0A"/>
      <sz val="10"/>
    </font>
    <font>
      <name val="Inter"/>
      <color rgb="FF666666"/>
      <sz val="10"/>
    </font>
    <font>
      <name val="Cinzel"/>
      <b val="1"/>
      <color rgb="FFBFA97A"/>
      <sz val="13"/>
    </font>
    <font>
      <name val="Inter"/>
      <b val="1"/>
      <color rgb="FFFFFFFF"/>
      <sz val="9"/>
    </font>
    <font>
      <name val="Inter"/>
      <color rgb="FF0A0A0A"/>
      <sz val="10"/>
    </font>
    <font>
      <name val="Inter"/>
      <b val="1"/>
      <sz val="10"/>
    </font>
    <font>
      <name val="Cinzel"/>
      <b val="1"/>
      <color rgb="FFBFA97A"/>
      <sz val="12"/>
    </font>
    <font>
      <name val="Inter"/>
      <b val="1"/>
      <color rgb="FF0A0A0A"/>
      <sz val="9"/>
    </font>
    <font>
      <name val="Inter"/>
      <b val="1"/>
      <color rgb="FF0A0A0A"/>
      <sz val="11"/>
    </font>
    <font>
      <name val="Inter"/>
      <b val="1"/>
      <color rgb="FF0A0A0A"/>
      <sz val="13"/>
    </font>
    <font>
      <name val="Inter"/>
      <b val="1"/>
      <color rgb="FF0000FF"/>
      <sz val="11"/>
    </font>
    <font>
      <name val="Inter"/>
      <b val="1"/>
      <sz val="11"/>
    </font>
    <font>
      <name val="Inter"/>
      <color rgb="00F02A7A"/>
      <sz val="9"/>
    </font>
    <font>
      <name val="Inter"/>
      <b val="1"/>
      <color rgb="FF0000FF"/>
      <sz val="10"/>
    </font>
    <font>
      <name val="Inter"/>
      <color rgb="FF0000FF"/>
      <sz val="10"/>
    </font>
    <font>
      <name val="Inter"/>
      <b val="1"/>
      <color rgb="FFBFA97A"/>
      <sz val="10"/>
    </font>
    <font>
      <name val="Inter"/>
      <b val="1"/>
      <color rgb="FF1A5C30"/>
      <sz val="12"/>
    </font>
    <font>
      <name val="Inter"/>
      <b val="1"/>
      <color rgb="FF8B1C1C"/>
      <sz val="12"/>
    </font>
    <font>
      <name val="Inter"/>
      <b val="1"/>
      <color rgb="FF8A7040"/>
      <sz val="10"/>
    </font>
    <font>
      <name val="Inter"/>
      <b val="1"/>
      <color rgb="FF0A0A0A"/>
      <sz val="14"/>
    </font>
    <font>
      <name val="Inter"/>
      <b val="1"/>
      <color rgb="FF1A5C30"/>
      <sz val="10"/>
    </font>
    <font>
      <name val="Inter"/>
      <b val="1"/>
      <color rgb="FFCC8800"/>
      <sz val="9"/>
    </font>
  </fonts>
  <fills count="15">
    <fill>
      <patternFill/>
    </fill>
    <fill>
      <patternFill patternType="gray125"/>
    </fill>
    <fill>
      <patternFill patternType="solid">
        <fgColor rgb="FF0A0A0A"/>
      </patternFill>
    </fill>
    <fill>
      <patternFill patternType="solid">
        <fgColor rgb="FF141414"/>
      </patternFill>
    </fill>
    <fill>
      <patternFill patternType="solid">
        <fgColor rgb="00F7F4EF"/>
      </patternFill>
    </fill>
    <fill>
      <patternFill patternType="solid">
        <fgColor rgb="FFFFFFFF"/>
      </patternFill>
    </fill>
    <fill>
      <patternFill patternType="solid">
        <fgColor rgb="FFEDEBE0"/>
      </patternFill>
    </fill>
    <fill>
      <patternFill patternType="solid">
        <fgColor rgb="FFE8F5EE"/>
      </patternFill>
    </fill>
    <fill>
      <patternFill patternType="solid">
        <fgColor rgb="FFF0F4FF"/>
      </patternFill>
    </fill>
    <fill>
      <patternFill patternType="solid">
        <fgColor rgb="FFFFF8E8"/>
      </patternFill>
    </fill>
    <fill>
      <patternFill patternType="solid">
        <fgColor rgb="FFFFFF99"/>
      </patternFill>
    </fill>
    <fill>
      <patternFill patternType="solid">
        <fgColor rgb="FFE8F0FF"/>
      </patternFill>
    </fill>
    <fill>
      <patternFill patternType="solid">
        <fgColor rgb="FFF5EEE8"/>
      </patternFill>
    </fill>
    <fill>
      <patternFill patternType="solid">
        <fgColor rgb="FFBFA97A"/>
      </patternFill>
    </fill>
    <fill>
      <patternFill patternType="solid">
        <fgColor rgb="FF1A1A1A"/>
      </patternFill>
    </fill>
  </fills>
  <borders count="7">
    <border>
      <left/>
      <right/>
      <top/>
      <bottom/>
      <diagonal/>
    </border>
    <border>
      <bottom style="thin">
        <color rgb="FFE4E0D8"/>
      </bottom>
    </border>
    <border>
      <right style="thin">
        <color rgb="FFE4E0D8"/>
      </right>
      <bottom style="thin">
        <color rgb="FFE4E0D8"/>
      </bottom>
    </border>
    <border>
      <right style="thin">
        <color rgb="FF333333"/>
      </right>
      <bottom style="thin">
        <color rgb="FFE4E0D8"/>
      </bottom>
    </border>
    <border>
      <left/>
      <right style="thin">
        <color rgb="FFE4E0D8"/>
      </right>
      <top/>
      <bottom/>
      <diagonal/>
    </border>
    <border>
      <left/>
      <right/>
      <top/>
      <bottom style="thin">
        <color rgb="FFE4E0D8"/>
      </bottom>
      <diagonal/>
    </border>
    <border>
      <left/>
      <right style="thin">
        <color rgb="FFE4E0D8"/>
      </right>
      <top/>
      <bottom style="thin">
        <color rgb="FFE4E0D8"/>
      </bottom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indent="2"/>
    </xf>
    <xf numFmtId="0" fontId="10" fillId="2" borderId="0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0" fillId="5" borderId="2" pivotButton="0" quotePrefix="0" xfId="0"/>
    <xf numFmtId="0" fontId="12" fillId="5" borderId="2" applyAlignment="1" pivotButton="0" quotePrefix="0" xfId="0">
      <alignment horizontal="center"/>
    </xf>
    <xf numFmtId="0" fontId="13" fillId="2" borderId="0" applyAlignment="1" pivotButton="0" quotePrefix="0" xfId="0">
      <alignment horizontal="left" vertical="center" indent="2"/>
    </xf>
    <xf numFmtId="0" fontId="3" fillId="4" borderId="0" applyAlignment="1" pivotButton="0" quotePrefix="0" xfId="0">
      <alignment horizontal="left" vertical="center"/>
    </xf>
    <xf numFmtId="164" fontId="14" fillId="9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center"/>
    </xf>
    <xf numFmtId="0" fontId="10" fillId="2" borderId="3" applyAlignment="1" pivotButton="0" quotePrefix="0" xfId="0">
      <alignment horizontal="center" vertical="center" wrapText="1"/>
    </xf>
    <xf numFmtId="0" fontId="7" fillId="6" borderId="2" pivotButton="0" quotePrefix="0" xfId="0"/>
    <xf numFmtId="0" fontId="16" fillId="6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7" fillId="5" borderId="2" pivotButton="0" quotePrefix="0" xfId="0"/>
    <xf numFmtId="0" fontId="17" fillId="5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8" fillId="5" borderId="2" applyAlignment="1" pivotButton="0" quotePrefix="0" xfId="0">
      <alignment horizontal="center"/>
    </xf>
    <xf numFmtId="0" fontId="17" fillId="5" borderId="2" applyAlignment="1" pivotButton="0" quotePrefix="0" xfId="0">
      <alignment horizontal="center"/>
    </xf>
    <xf numFmtId="0" fontId="6" fillId="2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19" fillId="8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right" vertical="center"/>
    </xf>
    <xf numFmtId="2" fontId="20" fillId="10" borderId="0" applyAlignment="1" pivotButton="0" quotePrefix="0" xfId="0">
      <alignment horizontal="center"/>
    </xf>
    <xf numFmtId="0" fontId="2" fillId="6" borderId="0" pivotButton="0" quotePrefix="0" xfId="0"/>
    <xf numFmtId="0" fontId="21" fillId="6" borderId="2" pivotButton="0" quotePrefix="0" xfId="0"/>
    <xf numFmtId="165" fontId="11" fillId="6" borderId="2" pivotButton="0" quotePrefix="0" xfId="0"/>
    <xf numFmtId="165" fontId="7" fillId="6" borderId="2" pivotButton="0" quotePrefix="0" xfId="0"/>
    <xf numFmtId="2" fontId="8" fillId="6" borderId="2" pivotButton="0" quotePrefix="0" xfId="0"/>
    <xf numFmtId="166" fontId="7" fillId="6" borderId="2" pivotButton="0" quotePrefix="0" xfId="0"/>
    <xf numFmtId="167" fontId="7" fillId="6" borderId="2" pivotButton="0" quotePrefix="0" xfId="0"/>
    <xf numFmtId="167" fontId="11" fillId="6" borderId="2" pivotButton="0" quotePrefix="0" xfId="0"/>
    <xf numFmtId="0" fontId="2" fillId="5" borderId="0" pivotButton="0" quotePrefix="0" xfId="0"/>
    <xf numFmtId="0" fontId="21" fillId="5" borderId="2" pivotButton="0" quotePrefix="0" xfId="0"/>
    <xf numFmtId="165" fontId="11" fillId="5" borderId="2" pivotButton="0" quotePrefix="0" xfId="0"/>
    <xf numFmtId="2" fontId="8" fillId="5" borderId="2" pivotButton="0" quotePrefix="0" xfId="0"/>
    <xf numFmtId="167" fontId="11" fillId="5" borderId="2" pivotButton="0" quotePrefix="0" xfId="0"/>
    <xf numFmtId="0" fontId="22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5" fontId="23" fillId="0" borderId="0" pivotButton="0" quotePrefix="0" xfId="0"/>
    <xf numFmtId="167" fontId="23" fillId="0" borderId="0" pivotButton="0" quotePrefix="0" xfId="0"/>
    <xf numFmtId="165" fontId="24" fillId="0" borderId="0" pivotButton="0" quotePrefix="0" xfId="0"/>
    <xf numFmtId="0" fontId="17" fillId="10" borderId="0" applyAlignment="1" pivotButton="0" quotePrefix="0" xfId="0">
      <alignment horizontal="center"/>
    </xf>
    <xf numFmtId="0" fontId="7" fillId="6" borderId="0" applyAlignment="1" pivotButton="0" quotePrefix="0" xfId="0">
      <alignment horizontal="center" vertical="center"/>
    </xf>
    <xf numFmtId="165" fontId="11" fillId="6" borderId="0" pivotButton="0" quotePrefix="0" xfId="0"/>
    <xf numFmtId="165" fontId="7" fillId="6" borderId="0" pivotButton="0" quotePrefix="0" xfId="0"/>
    <xf numFmtId="168" fontId="15" fillId="6" borderId="0" pivotButton="0" quotePrefix="0" xfId="0"/>
    <xf numFmtId="169" fontId="11" fillId="6" borderId="0" pivotButton="0" quotePrefix="0" xfId="0"/>
    <xf numFmtId="167" fontId="15" fillId="6" borderId="0" pivotButton="0" quotePrefix="0" xfId="0"/>
    <xf numFmtId="167" fontId="11" fillId="6" borderId="0" pivotButton="0" quotePrefix="0" xfId="0"/>
    <xf numFmtId="0" fontId="7" fillId="5" borderId="0" applyAlignment="1" pivotButton="0" quotePrefix="0" xfId="0">
      <alignment horizontal="center" vertical="center"/>
    </xf>
    <xf numFmtId="165" fontId="11" fillId="5" borderId="0" pivotButton="0" quotePrefix="0" xfId="0"/>
    <xf numFmtId="169" fontId="11" fillId="5" borderId="0" pivotButton="0" quotePrefix="0" xfId="0"/>
    <xf numFmtId="167" fontId="11" fillId="5" borderId="0" pivotButton="0" quotePrefix="0" xfId="0"/>
    <xf numFmtId="0" fontId="25" fillId="6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left" vertical="center"/>
    </xf>
    <xf numFmtId="0" fontId="11" fillId="7" borderId="2" applyAlignment="1" pivotButton="0" quotePrefix="0" xfId="0">
      <alignment horizontal="center" vertical="center"/>
    </xf>
    <xf numFmtId="169" fontId="11" fillId="7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169" fontId="11" fillId="8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169" fontId="11" fillId="9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169" fontId="11" fillId="11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169" fontId="11" fillId="12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13" borderId="2" pivotButton="0" quotePrefix="0" xfId="0"/>
    <xf numFmtId="0" fontId="26" fillId="13" borderId="2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27" fillId="7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/>
    </xf>
    <xf numFmtId="0" fontId="11" fillId="5" borderId="2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11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UPPLIERS" displayName="SUPPLIERS" ref="A2:S24" headerRowCount="1">
  <autoFilter ref="A2:S24"/>
  <tableColumns count="19">
    <tableColumn id="1" name="Supplier Name"/>
    <tableColumn id="2" name="Priority"/>
    <tableColumn id="3" name="Contact Name"/>
    <tableColumn id="4" name="Email"/>
    <tableColumn id="5" name="WeChat/WhatsApp"/>
    <tableColumn id="6" name="City"/>
    <tableColumn id="7" name="Country"/>
    <tableColumn id="8" name="Alibaba URL"/>
    <tableColumn id="9" name="Speciality"/>
    <tableColumn id="10" name="Fabric Capability"/>
    <tableColumn id="11" name="MOQ/Color"/>
    <tableColumn id="12" name="MOQ/Size Run"/>
    <tableColumn id="13" name="Lead Time (days)"/>
    <tableColumn id="14" name="Certifications"/>
    <tableColumn id="15" name="Design Cap."/>
    <tableColumn id="16" name="Customization"/>
    <tableColumn id="17" name="Status"/>
    <tableColumn id="18" name="Notes"/>
    <tableColumn id="19" name="Overall Score"/>
  </tableColumns>
  <tableStyleInfo name="TableStyleMedium2" showRowStripes="1"/>
</table>
</file>

<file path=xl/tables/table2.xml><?xml version="1.0" encoding="utf-8"?>
<table xmlns="http://schemas.openxmlformats.org/spreadsheetml/2006/main" id="2" name="RFQ_QUOTES" displayName="RFQ_QUOTES" ref="A3:T33" headerRowCount="1">
  <autoFilter ref="A3:T33"/>
  <tableColumns count="20">
    <tableColumn id="1" name="Quote ID"/>
    <tableColumn id="2" name="Supplier"/>
    <tableColumn id="3" name="SKU #"/>
    <tableColumn id="4" name="Style Name"/>
    <tableColumn id="5" name="FOB Price_x000a_(USD)"/>
    <tableColumn id="6" name="Freight_x000a_(USD)"/>
    <tableColumn id="7" name="Duty_x000a_(USD)"/>
    <tableColumn id="8" name="QC Cost_x000a_(USD)"/>
    <tableColumn id="9" name="Landed_x000a_(USD)"/>
    <tableColumn id="10" name="FX Rate"/>
    <tableColumn id="11" name="Landed_x000a_(R$)"/>
    <tableColumn id="12" name="Retail_x000a_Min (R$)"/>
    <tableColumn id="13" name="Retail_x000a_Max (R$)"/>
    <tableColumn id="14" name="Gross_x000a_Margin %"/>
    <tableColumn id="15" name="Net_x000a_Margin %"/>
    <tableColumn id="16" name="MOQ/Color"/>
    <tableColumn id="17" name="Lead Time_x000a_(days)"/>
    <tableColumn id="18" name="Sample_x000a_Cost"/>
    <tableColumn id="19" name="Status"/>
    <tableColumn id="20" name="Notes"/>
  </tableColumns>
  <tableStyleInfo name="TableStyleMedium2" showRowStripes="1"/>
</table>
</file>

<file path=xl/tables/table3.xml><?xml version="1.0" encoding="utf-8"?>
<table xmlns="http://schemas.openxmlformats.org/spreadsheetml/2006/main" id="3" name="COLLECTION" displayName="COLLECTION" ref="A2:L17" headerRowCount="1">
  <autoFilter ref="A2:L17"/>
  <tableColumns count="12">
    <tableColumn id="1" name="SKU#"/>
    <tableColumn id="2" name="Style Name"/>
    <tableColumn id="3" name="Moment / Drop"/>
    <tableColumn id="4" name="Tier"/>
    <tableColumn id="5" name="Colors"/>
    <tableColumn id="6" name="PCS/Color"/>
    <tableColumn id="7" name="Total Units"/>
    <tableColumn id="8" name="Retail Min (R$)"/>
    <tableColumn id="9" name="Retail Max (R$)"/>
    <tableColumn id="10" name="Fabric"/>
    <tableColumn id="11" name="Assigned Supplier"/>
    <tableColumn id="12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BFA97A"/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8" customHeight="1">
      <c r="A1" s="1" t="inlineStr">
        <is>
          <t>LIONNA™ — Collection &amp; Supplier Management System · SS27</t>
        </is>
      </c>
    </row>
    <row r="2" ht="18" customHeight="1">
      <c r="A2" s="2" t="inlineStr">
        <is>
          <t>She Moves. The World Adjusts. · Phase 1 · Spring/Summer 2027 · Generated: 24 Jun 2026</t>
        </is>
      </c>
    </row>
    <row r="3" ht="8" customHeight="1"/>
    <row r="4" ht="14" customHeight="1">
      <c r="A4" s="3" t="inlineStr">
        <is>
          <t>TOTAL SKUs</t>
        </is>
      </c>
      <c r="C4" s="3" t="inlineStr">
        <is>
          <t>TOTAL UNITS</t>
        </is>
      </c>
      <c r="E4" s="3" t="inlineStr">
        <is>
          <t>SUPPLIERS</t>
        </is>
      </c>
      <c r="G4" s="3" t="inlineStr">
        <is>
          <t>APPROVED</t>
        </is>
      </c>
      <c r="I4" s="3" t="inlineStr">
        <is>
          <t>QUOTES RCVD</t>
        </is>
      </c>
    </row>
    <row r="5" ht="32" customHeight="1">
      <c r="A5" s="4">
        <f>COUNTA(COLLECTION[SKU#])-1</f>
        <v/>
      </c>
      <c r="C5" s="4">
        <f>SUM(COLLECTION[Total Units])</f>
        <v/>
      </c>
      <c r="E5" s="4">
        <f>COUNTA(SUPPLIERS[Supplier Name])-1</f>
        <v/>
      </c>
      <c r="G5" s="4">
        <f>COUNTIF(SUPPLIERS[Status],"Approved")</f>
        <v/>
      </c>
      <c r="I5" s="4">
        <f>COUNTA(RFQ_QUOTES[Quote ID])-1</f>
        <v/>
      </c>
    </row>
    <row r="6" ht="14" customHeight="1">
      <c r="A6" s="5" t="inlineStr">
        <is>
          <t># SKUs Phase 1</t>
        </is>
      </c>
      <c r="C6" s="5" t="inlineStr">
        <is>
          <t>pcs across all SKUs</t>
        </is>
      </c>
      <c r="E6" s="5" t="inlineStr">
        <is>
          <t>identified OEM partners</t>
        </is>
      </c>
      <c r="G6" s="5" t="inlineStr">
        <is>
          <t>approved for RFQ</t>
        </is>
      </c>
      <c r="I6" s="5" t="inlineStr">
        <is>
          <t>of all suppliers</t>
        </is>
      </c>
    </row>
    <row r="7" ht="8" customHeight="1"/>
    <row r="8" ht="20" customHeight="1">
      <c r="A8" s="6" t="inlineStr">
        <is>
          <t>HOW TO USE THIS WORKBOOK</t>
        </is>
      </c>
    </row>
    <row r="9" ht="16" customHeight="1">
      <c r="A9" s="7" t="inlineStr">
        <is>
          <t>SUPPLIERS sheet</t>
        </is>
      </c>
      <c r="B9" s="8" t="inlineStr">
        <is>
          <t>Add all OEM suppliers with contact, URL, MOQ, lead time. Update Status column as relationship progresses.</t>
        </is>
      </c>
    </row>
    <row r="10" ht="16" customHeight="1">
      <c r="A10" s="9" t="inlineStr">
        <is>
          <t>SCORING sheet</t>
        </is>
      </c>
      <c r="B10" s="10" t="inlineStr">
        <is>
          <t>Enter scores 0–10 for each supplier variable. System auto-ranks and flags Approve/Negotiate/Reject.</t>
        </is>
      </c>
    </row>
    <row r="11" ht="16" customHeight="1">
      <c r="A11" s="7" t="inlineStr">
        <is>
          <t>RFQ_QUOTES sheet</t>
        </is>
      </c>
      <c r="B11" s="8" t="inlineStr">
        <is>
          <t>Log every quote received from suppliers. Landed cost and margin calculated automatically.</t>
        </is>
      </c>
    </row>
    <row r="12" ht="16" customHeight="1">
      <c r="A12" s="9" t="inlineStr">
        <is>
          <t>FOB_D2D sheet</t>
        </is>
      </c>
      <c r="B12" s="10" t="inlineStr">
        <is>
          <t>Adjust global assumptions (freight %, duty %, FX rate) — all calculations update across the workbook.</t>
        </is>
      </c>
    </row>
    <row r="13" ht="16" customHeight="1">
      <c r="A13" s="7" t="inlineStr">
        <is>
          <t>COLLECTION sheet</t>
        </is>
      </c>
      <c r="B13" s="8" t="inlineStr">
        <is>
          <t>Full SKU list by moment. Enter FOB when quotes arrive to see real-time margin per piece.</t>
        </is>
      </c>
    </row>
    <row r="14" ht="16" customHeight="1">
      <c r="A14" s="9" t="inlineStr">
        <is>
          <t>FABRICS sheet</t>
        </is>
      </c>
      <c r="B14" s="10" t="inlineStr">
        <is>
          <t>Fabric library with GSM, composition, and Golden Rule compliance tracking.</t>
        </is>
      </c>
    </row>
    <row r="15" ht="16" customHeight="1">
      <c r="A15" s="7" t="inlineStr">
        <is>
          <t>PRINT AREA</t>
        </is>
      </c>
      <c r="B15" s="8" t="inlineStr">
        <is>
          <t>Each sheet has a defined print area. Use File → Print to generate PDF for OEM briefs.</t>
        </is>
      </c>
    </row>
  </sheetData>
  <mergeCells count="30">
    <mergeCell ref="B11:J11"/>
    <mergeCell ref="C6:D6"/>
    <mergeCell ref="I6:J6"/>
    <mergeCell ref="A8:J8"/>
    <mergeCell ref="B14:J14"/>
    <mergeCell ref="C5:D5"/>
    <mergeCell ref="E5:F5"/>
    <mergeCell ref="B13:J13"/>
    <mergeCell ref="A6:B6"/>
    <mergeCell ref="C4:D4"/>
    <mergeCell ref="E4:F4"/>
    <mergeCell ref="A7:B7"/>
    <mergeCell ref="G7:H7"/>
    <mergeCell ref="B10:J10"/>
    <mergeCell ref="I7:J7"/>
    <mergeCell ref="B9:J9"/>
    <mergeCell ref="G6:H6"/>
    <mergeCell ref="B15:J15"/>
    <mergeCell ref="A1:J1"/>
    <mergeCell ref="E6:F6"/>
    <mergeCell ref="A5:B5"/>
    <mergeCell ref="G5:H5"/>
    <mergeCell ref="I5:J5"/>
    <mergeCell ref="A4:B4"/>
    <mergeCell ref="G4:H4"/>
    <mergeCell ref="I4:J4"/>
    <mergeCell ref="C7:D7"/>
    <mergeCell ref="E7:F7"/>
    <mergeCell ref="A2:J2"/>
    <mergeCell ref="B12:J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A97A"/>
    <outlinePr summaryBelow="1" summaryRight="1"/>
    <pageSetUpPr/>
  </sheetPr>
  <dimension ref="A1:S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24" customWidth="1" min="4" max="4"/>
    <col width="18" customWidth="1" min="5" max="5"/>
    <col width="12" customWidth="1" min="6" max="6"/>
    <col width="10" customWidth="1" min="7" max="7"/>
    <col width="40" customWidth="1" min="8" max="8"/>
    <col width="24" customWidth="1" min="9" max="9"/>
    <col width="22" customWidth="1" min="10" max="10"/>
    <col width="10" customWidth="1" min="11" max="11"/>
    <col width="10" customWidth="1" min="12" max="12"/>
    <col width="12" customWidth="1" min="13" max="13"/>
    <col width="16" customWidth="1" min="14" max="14"/>
    <col width="12" customWidth="1" min="15" max="15"/>
    <col width="14" customWidth="1" min="16" max="16"/>
    <col width="12" customWidth="1" min="17" max="17"/>
    <col width="32" customWidth="1" min="18" max="18"/>
    <col width="10" customWidth="1" min="19" max="19"/>
  </cols>
  <sheetData>
    <row r="1" ht="28" customHeight="1">
      <c r="A1" s="11" t="inlineStr">
        <is>
          <t>LIONNA™ — Supplier Directory &amp; CRM</t>
        </is>
      </c>
    </row>
    <row r="2" ht="20" customHeight="1">
      <c r="A2" s="12" t="inlineStr">
        <is>
          <t>Supplier Name</t>
        </is>
      </c>
      <c r="B2" s="12" t="inlineStr">
        <is>
          <t>Priority</t>
        </is>
      </c>
      <c r="C2" s="12" t="inlineStr">
        <is>
          <t>Contact Name</t>
        </is>
      </c>
      <c r="D2" s="12" t="inlineStr">
        <is>
          <t>Email</t>
        </is>
      </c>
      <c r="E2" s="12" t="inlineStr">
        <is>
          <t>WeChat/WhatsApp</t>
        </is>
      </c>
      <c r="F2" s="12" t="inlineStr">
        <is>
          <t>City</t>
        </is>
      </c>
      <c r="G2" s="12" t="inlineStr">
        <is>
          <t>Country</t>
        </is>
      </c>
      <c r="H2" s="12" t="inlineStr">
        <is>
          <t>Alibaba URL</t>
        </is>
      </c>
      <c r="I2" s="12" t="inlineStr">
        <is>
          <t>Speciality</t>
        </is>
      </c>
      <c r="J2" s="12" t="inlineStr">
        <is>
          <t>Fabric Capability</t>
        </is>
      </c>
      <c r="K2" s="12" t="inlineStr">
        <is>
          <t>MOQ/Color</t>
        </is>
      </c>
      <c r="L2" s="12" t="inlineStr">
        <is>
          <t>MOQ/Size Run</t>
        </is>
      </c>
      <c r="M2" s="12" t="inlineStr">
        <is>
          <t>Lead Time (days)</t>
        </is>
      </c>
      <c r="N2" s="12" t="inlineStr">
        <is>
          <t>Certifications</t>
        </is>
      </c>
      <c r="O2" s="12" t="inlineStr">
        <is>
          <t>Design Cap.</t>
        </is>
      </c>
      <c r="P2" s="12" t="inlineStr">
        <is>
          <t>Customization</t>
        </is>
      </c>
      <c r="Q2" s="12" t="inlineStr">
        <is>
          <t>Status</t>
        </is>
      </c>
      <c r="R2" s="12" t="inlineStr">
        <is>
          <t>Notes</t>
        </is>
      </c>
      <c r="S2" s="12" t="inlineStr">
        <is>
          <t>Overall Score</t>
        </is>
      </c>
    </row>
    <row r="3" ht="18" customHeight="1">
      <c r="A3" s="13" t="inlineStr">
        <is>
          <t>EnovStars</t>
        </is>
      </c>
      <c r="B3" s="13" t="n">
        <v>1</v>
      </c>
      <c r="C3" s="13" t="inlineStr">
        <is>
          <t>Sales Team</t>
        </is>
      </c>
      <c r="D3" s="13" t="inlineStr"/>
      <c r="E3" s="13" t="inlineStr"/>
      <c r="F3" s="13" t="inlineStr">
        <is>
          <t>Guangdong</t>
        </is>
      </c>
      <c r="G3" s="13" t="inlineStr">
        <is>
          <t>China</t>
        </is>
      </c>
      <c r="H3" s="13" t="inlineStr">
        <is>
          <t>https://www.alibaba.com/product-detail/EnovStars-OEM-Activewear-Set-78-Nylon_1601730014349.html</t>
        </is>
      </c>
      <c r="I3" s="13" t="inlineStr">
        <is>
          <t>Leggings·Bra·Tank·Skirt·Jacket</t>
        </is>
      </c>
      <c r="J3" s="13" t="inlineStr">
        <is>
          <t>78% Nylon 22% Spandex</t>
        </is>
      </c>
      <c r="K3" s="13" t="n">
        <v>50</v>
      </c>
      <c r="L3" s="13" t="n">
        <v>50</v>
      </c>
      <c r="M3" s="13" t="n">
        <v>45</v>
      </c>
      <c r="N3" s="13" t="inlineStr"/>
      <c r="O3" s="13" t="inlineStr">
        <is>
          <t>Moderate</t>
        </is>
      </c>
      <c r="P3" s="13" t="inlineStr">
        <is>
          <t>Full</t>
        </is>
      </c>
      <c r="Q3" s="14" t="inlineStr">
        <is>
          <t>Approved</t>
        </is>
      </c>
      <c r="R3" s="13" t="inlineStr">
        <is>
          <t>Top priority. Naked Feel fabric = LIONNA spec.</t>
        </is>
      </c>
      <c r="S3" s="15">
        <f>IFERROR(VLOOKUP(A3,SCORING!A:B,2,0),"")</f>
        <v/>
      </c>
    </row>
    <row r="4" ht="18" customHeight="1">
      <c r="A4" s="16" t="inlineStr">
        <is>
          <t>Tennis Jumpsuit #24</t>
        </is>
      </c>
      <c r="B4" s="16" t="n">
        <v>2</v>
      </c>
      <c r="C4" s="16" t="inlineStr"/>
      <c r="D4" s="16" t="inlineStr"/>
      <c r="E4" s="16" t="inlineStr"/>
      <c r="F4" s="16" t="inlineStr">
        <is>
          <t>China</t>
        </is>
      </c>
      <c r="G4" s="16" t="inlineStr">
        <is>
          <t>China</t>
        </is>
      </c>
      <c r="H4" s="16" t="inlineStr">
        <is>
          <t>https://www.alibaba.com/product-detail/High-Quality-Women-s-Sports-Tennis_1601724763174.html</t>
        </is>
      </c>
      <c r="I4" s="16" t="inlineStr">
        <is>
          <t>Jumpsuit·Coverage Skirt</t>
        </is>
      </c>
      <c r="J4" s="16" t="inlineStr">
        <is>
          <t>Nylon/Spandex</t>
        </is>
      </c>
      <c r="K4" s="16" t="n">
        <v>50</v>
      </c>
      <c r="L4" s="16" t="n">
        <v>50</v>
      </c>
      <c r="M4" s="16" t="n">
        <v>40</v>
      </c>
      <c r="N4" s="16" t="inlineStr"/>
      <c r="O4" s="16" t="inlineStr">
        <is>
          <t>Basic</t>
        </is>
      </c>
      <c r="P4" s="16" t="inlineStr">
        <is>
          <t>Embroidery</t>
        </is>
      </c>
      <c r="Q4" s="14" t="inlineStr">
        <is>
          <t>Approved</t>
        </is>
      </c>
      <c r="R4" s="16" t="inlineStr">
        <is>
          <t>Only supplier with jumpsuit + skirt system.</t>
        </is>
      </c>
      <c r="S4" s="15">
        <f>IFERROR(VLOOKUP(A4,SCORING!A:B,2,0),"")</f>
        <v/>
      </c>
    </row>
    <row r="5" ht="18" customHeight="1">
      <c r="A5" s="13" t="inlineStr">
        <is>
          <t>AlOe / FITVOLT</t>
        </is>
      </c>
      <c r="B5" s="13" t="n">
        <v>3</v>
      </c>
      <c r="C5" s="13" t="inlineStr"/>
      <c r="D5" s="13" t="inlineStr"/>
      <c r="E5" s="13" t="inlineStr"/>
      <c r="F5" s="13" t="inlineStr">
        <is>
          <t>China</t>
        </is>
      </c>
      <c r="G5" s="13" t="inlineStr">
        <is>
          <t>China</t>
        </is>
      </c>
      <c r="H5" s="13" t="inlineStr">
        <is>
          <t>https://www.alibaba.com/product-detail/AlOe-Women-s-Spring-Quick-Dry_1601819685647.html</t>
        </is>
      </c>
      <c r="I5" s="13" t="inlineStr">
        <is>
          <t>Wide-Leg·Straight-Leg Pants</t>
        </is>
      </c>
      <c r="J5" s="13" t="inlineStr">
        <is>
          <t>4-way stretch tech fabric</t>
        </is>
      </c>
      <c r="K5" s="13" t="n">
        <v>50</v>
      </c>
      <c r="L5" s="13" t="n">
        <v>50</v>
      </c>
      <c r="M5" s="13" t="n">
        <v>40</v>
      </c>
      <c r="N5" s="13" t="inlineStr"/>
      <c r="O5" s="13" t="inlineStr">
        <is>
          <t>Basic</t>
        </is>
      </c>
      <c r="P5" s="13" t="inlineStr">
        <is>
          <t>Label only</t>
        </is>
      </c>
      <c r="Q5" s="14" t="inlineStr">
        <is>
          <t>Approved</t>
        </is>
      </c>
      <c r="R5" s="13" t="inlineStr">
        <is>
          <t>Two pant silhouettes. Complete The Work drop.</t>
        </is>
      </c>
      <c r="S5" s="15">
        <f>IFERROR(VLOOKUP(A5,SCORING!A:B,2,0),"")</f>
        <v/>
      </c>
    </row>
    <row r="6" ht="18" customHeight="1">
      <c r="A6" s="16" t="inlineStr">
        <is>
          <t>Anti-Exposure Shorts #15</t>
        </is>
      </c>
      <c r="B6" s="16" t="n">
        <v>4</v>
      </c>
      <c r="C6" s="16" t="inlineStr"/>
      <c r="D6" s="16" t="inlineStr"/>
      <c r="E6" s="16" t="inlineStr"/>
      <c r="F6" s="16" t="inlineStr">
        <is>
          <t>China</t>
        </is>
      </c>
      <c r="G6" s="16" t="inlineStr">
        <is>
          <t>China</t>
        </is>
      </c>
      <c r="H6" s="16" t="inlineStr">
        <is>
          <t>https://www.alibaba.com/product-detail/Running-Workout-High-Waist-Short-Sets_1601407705414.html</t>
        </is>
      </c>
      <c r="I6" s="16" t="inlineStr">
        <is>
          <t>Biker Short·Relaxed Short</t>
        </is>
      </c>
      <c r="J6" s="16" t="inlineStr">
        <is>
          <t>Nylon/Spandex (confirm)</t>
        </is>
      </c>
      <c r="K6" s="16" t="n">
        <v>50</v>
      </c>
      <c r="L6" s="16" t="n">
        <v>50</v>
      </c>
      <c r="M6" s="16" t="n">
        <v>45</v>
      </c>
      <c r="N6" s="16" t="inlineStr"/>
      <c r="O6" s="16" t="inlineStr">
        <is>
          <t>None</t>
        </is>
      </c>
      <c r="P6" s="16" t="inlineStr">
        <is>
          <t>Label only</t>
        </is>
      </c>
      <c r="Q6" s="17" t="inlineStr">
        <is>
          <t>Contacted</t>
        </is>
      </c>
      <c r="R6" s="16" t="inlineStr">
        <is>
          <t>Anti-exposure language = LIONNA spec.</t>
        </is>
      </c>
      <c r="S6" s="15">
        <f>IFERROR(VLOOKUP(A6,SCORING!A:B,2,0),"")</f>
        <v/>
      </c>
    </row>
    <row r="7" ht="18" customHeight="1">
      <c r="A7" s="13" t="inlineStr">
        <is>
          <t>Crossback Bra #5</t>
        </is>
      </c>
      <c r="B7" s="13" t="n">
        <v>5</v>
      </c>
      <c r="C7" s="13" t="inlineStr"/>
      <c r="D7" s="13" t="inlineStr"/>
      <c r="E7" s="13" t="inlineStr"/>
      <c r="F7" s="13" t="inlineStr">
        <is>
          <t>China</t>
        </is>
      </c>
      <c r="G7" s="13" t="inlineStr">
        <is>
          <t>China</t>
        </is>
      </c>
      <c r="H7" s="13" t="inlineStr">
        <is>
          <t>https://www.alibaba.com/product-detail/OEM-Custom-Crossover-Workout-Gym-Back_1601789816721.html</t>
        </is>
      </c>
      <c r="I7" s="13" t="inlineStr">
        <is>
          <t>Sports Bra·Crop Top</t>
        </is>
      </c>
      <c r="J7" s="13" t="inlineStr">
        <is>
          <t>Nylon/Spandex (confirm)</t>
        </is>
      </c>
      <c r="K7" s="13" t="n">
        <v>100</v>
      </c>
      <c r="L7" s="13" t="n">
        <v>100</v>
      </c>
      <c r="M7" s="13" t="n">
        <v>50</v>
      </c>
      <c r="N7" s="13" t="inlineStr"/>
      <c r="O7" s="13" t="inlineStr">
        <is>
          <t>Basic</t>
        </is>
      </c>
      <c r="P7" s="13" t="inlineStr">
        <is>
          <t>Embroidery</t>
        </is>
      </c>
      <c r="Q7" s="18" t="inlineStr">
        <is>
          <t>Pending</t>
        </is>
      </c>
      <c r="R7" s="13" t="inlineStr">
        <is>
          <t>Elegant crossback with side pockets.</t>
        </is>
      </c>
      <c r="S7" s="15">
        <f>IFERROR(VLOOKUP(A7,SCORING!A:B,2,0),"")</f>
        <v/>
      </c>
    </row>
    <row r="8" ht="18" customHeight="1">
      <c r="A8" s="16" t="inlineStr">
        <is>
          <t>QUMOR #30</t>
        </is>
      </c>
      <c r="B8" s="16" t="n">
        <v>6</v>
      </c>
      <c r="C8" s="16" t="inlineStr"/>
      <c r="D8" s="16" t="inlineStr"/>
      <c r="E8" s="16" t="inlineStr"/>
      <c r="F8" s="16" t="inlineStr">
        <is>
          <t>China</t>
        </is>
      </c>
      <c r="G8" s="16" t="inlineStr">
        <is>
          <t>China</t>
        </is>
      </c>
      <c r="H8" s="16" t="inlineStr">
        <is>
          <t>https://www.alibaba.com/product-detail/QUMOR-Women-s-Summer-Yoga-Set_1601761982075.html</t>
        </is>
      </c>
      <c r="I8" s="16" t="inlineStr">
        <is>
          <t>Tennis Skort·Sport Skirt</t>
        </is>
      </c>
      <c r="J8" s="16" t="inlineStr">
        <is>
          <t>Breathable nylon</t>
        </is>
      </c>
      <c r="K8" s="16" t="n">
        <v>50</v>
      </c>
      <c r="L8" s="16" t="n">
        <v>50</v>
      </c>
      <c r="M8" s="16" t="n">
        <v>45</v>
      </c>
      <c r="N8" s="16" t="inlineStr"/>
      <c r="O8" s="16" t="inlineStr">
        <is>
          <t>Basic</t>
        </is>
      </c>
      <c r="P8" s="16" t="inlineStr">
        <is>
          <t>Label only</t>
        </is>
      </c>
      <c r="Q8" s="18" t="inlineStr">
        <is>
          <t>Pending</t>
        </is>
      </c>
      <c r="R8" s="16" t="inlineStr">
        <is>
          <t>Tennis skort with coverage undershort.</t>
        </is>
      </c>
      <c r="S8" s="15">
        <f>IFERROR(VLOOKUP(A8,SCORING!A:B,2,0),"")</f>
        <v/>
      </c>
    </row>
    <row r="9" ht="18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20">
        <f>IFERROR(VLOOKUP(A9,SCORING!A:B,2,0),"")</f>
        <v/>
      </c>
    </row>
    <row r="10" ht="18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20">
        <f>IFERROR(VLOOKUP(A10,SCORING!A:B,2,0),"")</f>
        <v/>
      </c>
    </row>
    <row r="11" ht="18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20">
        <f>IFERROR(VLOOKUP(A11,SCORING!A:B,2,0),"")</f>
        <v/>
      </c>
    </row>
    <row r="12" ht="18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20">
        <f>IFERROR(VLOOKUP(A12,SCORING!A:B,2,0),"")</f>
        <v/>
      </c>
    </row>
    <row r="13" ht="18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20">
        <f>IFERROR(VLOOKUP(A13,SCORING!A:B,2,0),"")</f>
        <v/>
      </c>
    </row>
    <row r="14" ht="18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20">
        <f>IFERROR(VLOOKUP(A14,SCORING!A:B,2,0),"")</f>
        <v/>
      </c>
    </row>
    <row r="15" ht="18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20">
        <f>IFERROR(VLOOKUP(A15,SCORING!A:B,2,0),"")</f>
        <v/>
      </c>
    </row>
    <row r="16" ht="18" customHeight="1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20">
        <f>IFERROR(VLOOKUP(A16,SCORING!A:B,2,0),"")</f>
        <v/>
      </c>
    </row>
    <row r="17" ht="18" customHeight="1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20">
        <f>IFERROR(VLOOKUP(A17,SCORING!A:B,2,0),"")</f>
        <v/>
      </c>
    </row>
    <row r="18" ht="18" customHeight="1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20">
        <f>IFERROR(VLOOKUP(A18,SCORING!A:B,2,0),"")</f>
        <v/>
      </c>
    </row>
    <row r="19" ht="18" customHeight="1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20">
        <f>IFERROR(VLOOKUP(A19,SCORING!A:B,2,0),"")</f>
        <v/>
      </c>
    </row>
    <row r="20" ht="18" customHeight="1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20">
        <f>IFERROR(VLOOKUP(A20,SCORING!A:B,2,0),"")</f>
        <v/>
      </c>
    </row>
    <row r="21" ht="18" customHeight="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20">
        <f>IFERROR(VLOOKUP(A21,SCORING!A:B,2,0),"")</f>
        <v/>
      </c>
    </row>
    <row r="22" ht="18" customHeight="1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20">
        <f>IFERROR(VLOOKUP(A22,SCORING!A:B,2,0),"")</f>
        <v/>
      </c>
    </row>
    <row r="23" ht="18" customHeight="1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20">
        <f>IFERROR(VLOOKUP(A23,SCORING!A:B,2,0),"")</f>
        <v/>
      </c>
    </row>
    <row r="24" ht="18" customHeight="1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20">
        <f>IFERROR(VLOOKUP(A24,SCORING!A:B,2,0),"")</f>
        <v/>
      </c>
    </row>
  </sheetData>
  <mergeCells count="1">
    <mergeCell ref="A1:N1"/>
  </mergeCells>
  <pageMargins left="0.75" right="0.75" top="1" bottom="1" header="0.5" footer="0.5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A5C30"/>
    <outlinePr summaryBelow="1" summaryRight="1"/>
    <pageSetUpPr/>
  </sheetPr>
  <dimension ref="A1:M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1" customWidth="1" min="10" max="10"/>
    <col width="11" customWidth="1" min="11" max="11"/>
    <col width="14" customWidth="1" min="12" max="12"/>
  </cols>
  <sheetData>
    <row r="1" ht="26" customHeight="1">
      <c r="A1" s="21" t="inlineStr">
        <is>
          <t>LIONNA™ — Supplier Scoring Model · Multi-Variable Mathematical Evaluation</t>
        </is>
      </c>
    </row>
    <row r="2" ht="14" customHeight="1">
      <c r="A2" s="22" t="inlineStr">
        <is>
          <t>VARIABLE WEIGHTS (must sum to 100%)</t>
        </is>
      </c>
      <c r="C2" s="23" t="n">
        <v>20</v>
      </c>
      <c r="D2" s="23" t="n">
        <v>18</v>
      </c>
      <c r="E2" s="23" t="n">
        <v>16</v>
      </c>
      <c r="F2" s="23" t="n">
        <v>10</v>
      </c>
      <c r="G2" s="23" t="n">
        <v>10</v>
      </c>
      <c r="H2" s="23" t="n">
        <v>8</v>
      </c>
      <c r="I2" s="23" t="n">
        <v>8</v>
      </c>
      <c r="J2" s="23" t="n">
        <v>5</v>
      </c>
      <c r="K2" s="23" t="n">
        <v>5</v>
      </c>
    </row>
    <row r="3" ht="14" customHeight="1">
      <c r="A3" s="24" t="inlineStr">
        <is>
          <t>WEIGHT TOTAL (must = 100):</t>
        </is>
      </c>
      <c r="C3" s="25">
        <f>SUM(C2:K2)</f>
        <v/>
      </c>
    </row>
    <row r="4" ht="10" customHeight="1"/>
    <row r="5" ht="30" customHeight="1">
      <c r="A5" s="26" t="inlineStr">
        <is>
          <t>Supplier Name</t>
        </is>
      </c>
      <c r="B5" s="26" t="inlineStr">
        <is>
          <t>Total Score</t>
        </is>
      </c>
      <c r="C5" s="26" t="inlineStr">
        <is>
          <t>FOB Price
(w=20%)</t>
        </is>
      </c>
      <c r="D5" s="26" t="inlineStr">
        <is>
          <t>D2D Margin
(w=18%)</t>
        </is>
      </c>
      <c r="E5" s="26" t="inlineStr">
        <is>
          <t>Fabric Quality
(w=16%)</t>
        </is>
      </c>
      <c r="F5" s="26" t="inlineStr">
        <is>
          <t>Design Cap
(w=10%)</t>
        </is>
      </c>
      <c r="G5" s="26" t="inlineStr">
        <is>
          <t>Lead Time
(w=10%)</t>
        </is>
      </c>
      <c r="H5" s="26" t="inlineStr">
        <is>
          <t>Freight/Access
(w=8%)</t>
        </is>
      </c>
      <c r="I5" s="26" t="inlineStr">
        <is>
          <t>Customization
(w=8%)</t>
        </is>
      </c>
      <c r="J5" s="26" t="inlineStr">
        <is>
          <t>MOQ/Color
(w=5%)</t>
        </is>
      </c>
      <c r="K5" s="26" t="inlineStr">
        <is>
          <t>MOQ/Size Run
(w=5%)</t>
        </is>
      </c>
      <c r="L5" s="26" t="inlineStr">
        <is>
          <t>DECISION</t>
        </is>
      </c>
    </row>
    <row r="6" ht="20" customHeight="1">
      <c r="A6" s="27" t="inlineStr">
        <is>
          <t>EnovStars</t>
        </is>
      </c>
      <c r="B6" s="28">
        <f>ROUND(SUMPRODUCT(C6:K6,C$2:K$2)/SUM(C$2:K$2),0)</f>
        <v/>
      </c>
      <c r="C6" s="29" t="n">
        <v>8</v>
      </c>
      <c r="D6" s="29" t="n">
        <v>8</v>
      </c>
      <c r="E6" s="29" t="n">
        <v>9</v>
      </c>
      <c r="F6" s="29" t="n">
        <v>7</v>
      </c>
      <c r="G6" s="29" t="n">
        <v>8</v>
      </c>
      <c r="H6" s="29" t="n">
        <v>7</v>
      </c>
      <c r="I6" s="29" t="n">
        <v>9</v>
      </c>
      <c r="J6" s="29" t="n">
        <v>9</v>
      </c>
      <c r="K6" s="29" t="n">
        <v>9</v>
      </c>
      <c r="L6" s="15">
        <f>IF(B6&gt;=75,"✅ APPROVE",IF(B6&gt;=55,"⚠️ NEGOTIATE","❌ REJECT"))</f>
        <v/>
      </c>
    </row>
    <row r="7" ht="20" customHeight="1">
      <c r="A7" s="30" t="inlineStr">
        <is>
          <t>Tennis Jumpsuit #24</t>
        </is>
      </c>
      <c r="B7" s="28">
        <f>ROUND(SUMPRODUCT(C7:K7,C$2:K$2)/SUM(C$2:K$2),0)</f>
        <v/>
      </c>
      <c r="C7" s="31" t="n">
        <v>7</v>
      </c>
      <c r="D7" s="31" t="n">
        <v>7</v>
      </c>
      <c r="E7" s="31" t="n">
        <v>8</v>
      </c>
      <c r="F7" s="31" t="n">
        <v>5</v>
      </c>
      <c r="G7" s="31" t="n">
        <v>9</v>
      </c>
      <c r="H7" s="31" t="n">
        <v>7</v>
      </c>
      <c r="I7" s="31" t="n">
        <v>6</v>
      </c>
      <c r="J7" s="31" t="n">
        <v>9</v>
      </c>
      <c r="K7" s="31" t="n">
        <v>8</v>
      </c>
      <c r="L7" s="32">
        <f>IF(B7&gt;=75,"✅ APPROVE",IF(B7&gt;=55,"⚠️ NEGOTIATE","❌ REJECT"))</f>
        <v/>
      </c>
    </row>
    <row r="8" ht="20" customHeight="1">
      <c r="A8" s="27" t="inlineStr">
        <is>
          <t>AlOe / FITVOLT</t>
        </is>
      </c>
      <c r="B8" s="28">
        <f>ROUND(SUMPRODUCT(C8:K8,C$2:K$2)/SUM(C$2:K$2),0)</f>
        <v/>
      </c>
      <c r="C8" s="29" t="n">
        <v>7</v>
      </c>
      <c r="D8" s="29" t="n">
        <v>7</v>
      </c>
      <c r="E8" s="29" t="n">
        <v>7</v>
      </c>
      <c r="F8" s="29" t="n">
        <v>5</v>
      </c>
      <c r="G8" s="29" t="n">
        <v>9</v>
      </c>
      <c r="H8" s="29" t="n">
        <v>7</v>
      </c>
      <c r="I8" s="29" t="n">
        <v>5</v>
      </c>
      <c r="J8" s="29" t="n">
        <v>9</v>
      </c>
      <c r="K8" s="29" t="n">
        <v>8</v>
      </c>
      <c r="L8" s="15">
        <f>IF(B8&gt;=75,"✅ APPROVE",IF(B8&gt;=55,"⚠️ NEGOTIATE","❌ REJECT"))</f>
        <v/>
      </c>
    </row>
    <row r="9" ht="20" customHeight="1">
      <c r="A9" s="30" t="inlineStr">
        <is>
          <t>Anti-Exposure Shorts #15</t>
        </is>
      </c>
      <c r="B9" s="28">
        <f>ROUND(SUMPRODUCT(C9:K9,C$2:K$2)/SUM(C$2:K$2),0)</f>
        <v/>
      </c>
      <c r="C9" s="31" t="n">
        <v>8</v>
      </c>
      <c r="D9" s="31" t="n">
        <v>8</v>
      </c>
      <c r="E9" s="31" t="n">
        <v>6</v>
      </c>
      <c r="F9" s="31" t="n">
        <v>3</v>
      </c>
      <c r="G9" s="31" t="n">
        <v>7</v>
      </c>
      <c r="H9" s="31" t="n">
        <v>6</v>
      </c>
      <c r="I9" s="31" t="n">
        <v>4</v>
      </c>
      <c r="J9" s="31" t="n">
        <v>9</v>
      </c>
      <c r="K9" s="31" t="n">
        <v>7</v>
      </c>
      <c r="L9" s="32">
        <f>IF(B9&gt;=75,"✅ APPROVE",IF(B9&gt;=55,"⚠️ NEGOTIATE","❌ REJECT"))</f>
        <v/>
      </c>
    </row>
    <row r="10" ht="20" customHeight="1">
      <c r="A10" s="27" t="inlineStr">
        <is>
          <t>Crossback Bra #5</t>
        </is>
      </c>
      <c r="B10" s="28">
        <f>ROUND(SUMPRODUCT(C10:K10,C$2:K$2)/SUM(C$2:K$2),0)</f>
        <v/>
      </c>
      <c r="C10" s="29" t="n">
        <v>6</v>
      </c>
      <c r="D10" s="29" t="n">
        <v>6</v>
      </c>
      <c r="E10" s="29" t="n">
        <v>7</v>
      </c>
      <c r="F10" s="29" t="n">
        <v>5</v>
      </c>
      <c r="G10" s="29" t="n">
        <v>6</v>
      </c>
      <c r="H10" s="29" t="n">
        <v>6</v>
      </c>
      <c r="I10" s="29" t="n">
        <v>6</v>
      </c>
      <c r="J10" s="29" t="n">
        <v>6</v>
      </c>
      <c r="K10" s="29" t="n">
        <v>6</v>
      </c>
      <c r="L10" s="15">
        <f>IF(B10&gt;=75,"✅ APPROVE",IF(B10&gt;=55,"⚠️ NEGOTIATE","❌ REJECT"))</f>
        <v/>
      </c>
    </row>
    <row r="11" ht="20" customHeight="1">
      <c r="A11" s="30" t="inlineStr">
        <is>
          <t>QUMOR #30</t>
        </is>
      </c>
      <c r="B11" s="28">
        <f>ROUND(SUMPRODUCT(C11:K11,C$2:K$2)/SUM(C$2:K$2),0)</f>
        <v/>
      </c>
      <c r="C11" s="31" t="n">
        <v>7</v>
      </c>
      <c r="D11" s="31" t="n">
        <v>7</v>
      </c>
      <c r="E11" s="31" t="n">
        <v>7</v>
      </c>
      <c r="F11" s="31" t="n">
        <v>4</v>
      </c>
      <c r="G11" s="31" t="n">
        <v>7</v>
      </c>
      <c r="H11" s="31" t="n">
        <v>6</v>
      </c>
      <c r="I11" s="31" t="n">
        <v>5</v>
      </c>
      <c r="J11" s="31" t="n">
        <v>9</v>
      </c>
      <c r="K11" s="31" t="n">
        <v>7</v>
      </c>
      <c r="L11" s="32">
        <f>IF(B11&gt;=75,"✅ APPROVE",IF(B11&gt;=55,"⚠️ NEGOTIATE","❌ REJECT"))</f>
        <v/>
      </c>
    </row>
    <row r="12" ht="18" customHeight="1">
      <c r="A12" s="19" t="n"/>
      <c r="B12" s="33">
        <f>IF(A12&lt;&gt;"",ROUND(SUMPRODUCT(C12:K12,C$2:K$2)/SUM(C$2:K$2),0),"")</f>
        <v/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20">
        <f>IF(A12&lt;&gt;"",IF(B12&gt;=75,"✅ APPROVE",IF(B12&gt;=55,"⚠️ NEGOTIATE","❌ REJECT")),"")</f>
        <v/>
      </c>
    </row>
    <row r="13" ht="18" customHeight="1">
      <c r="A13" s="19" t="n"/>
      <c r="B13" s="33">
        <f>IF(A13&lt;&gt;"",ROUND(SUMPRODUCT(C13:K13,C$2:K$2)/SUM(C$2:K$2),0),"")</f>
        <v/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20">
        <f>IF(A13&lt;&gt;"",IF(B13&gt;=75,"✅ APPROVE",IF(B13&gt;=55,"⚠️ NEGOTIATE","❌ REJECT")),"")</f>
        <v/>
      </c>
    </row>
    <row r="14" ht="18" customHeight="1">
      <c r="A14" s="19" t="n"/>
      <c r="B14" s="33">
        <f>IF(A14&lt;&gt;"",ROUND(SUMPRODUCT(C14:K14,C$2:K$2)/SUM(C$2:K$2),0),"")</f>
        <v/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20">
        <f>IF(A14&lt;&gt;"",IF(B14&gt;=75,"✅ APPROVE",IF(B14&gt;=55,"⚠️ NEGOTIATE","❌ REJECT")),"")</f>
        <v/>
      </c>
    </row>
    <row r="15" ht="18" customHeight="1">
      <c r="A15" s="19" t="n"/>
      <c r="B15" s="33">
        <f>IF(A15&lt;&gt;"",ROUND(SUMPRODUCT(C15:K15,C$2:K$2)/SUM(C$2:K$2),0),"")</f>
        <v/>
      </c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20">
        <f>IF(A15&lt;&gt;"",IF(B15&gt;=75,"✅ APPROVE",IF(B15&gt;=55,"⚠️ NEGOTIATE","❌ REJECT")),"")</f>
        <v/>
      </c>
    </row>
    <row r="16" ht="18" customHeight="1">
      <c r="A16" s="19" t="n"/>
      <c r="B16" s="33">
        <f>IF(A16&lt;&gt;"",ROUND(SUMPRODUCT(C16:K16,C$2:K$2)/SUM(C$2:K$2),0),"")</f>
        <v/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20">
        <f>IF(A16&lt;&gt;"",IF(B16&gt;=75,"✅ APPROVE",IF(B16&gt;=55,"⚠️ NEGOTIATE","❌ REJECT")),"")</f>
        <v/>
      </c>
    </row>
    <row r="17" ht="18" customHeight="1">
      <c r="A17" s="19" t="n"/>
      <c r="B17" s="33">
        <f>IF(A17&lt;&gt;"",ROUND(SUMPRODUCT(C17:K17,C$2:K$2)/SUM(C$2:K$2),0),"")</f>
        <v/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20">
        <f>IF(A17&lt;&gt;"",IF(B17&gt;=75,"✅ APPROVE",IF(B17&gt;=55,"⚠️ NEGOTIATE","❌ REJECT")),"")</f>
        <v/>
      </c>
    </row>
    <row r="18" ht="18" customHeight="1">
      <c r="A18" s="19" t="n"/>
      <c r="B18" s="33">
        <f>IF(A18&lt;&gt;"",ROUND(SUMPRODUCT(C18:K18,C$2:K$2)/SUM(C$2:K$2),0),"")</f>
        <v/>
      </c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20">
        <f>IF(A18&lt;&gt;"",IF(B18&gt;=75,"✅ APPROVE",IF(B18&gt;=55,"⚠️ NEGOTIATE","❌ REJECT")),"")</f>
        <v/>
      </c>
    </row>
    <row r="19" ht="18" customHeight="1">
      <c r="A19" s="19" t="n"/>
      <c r="B19" s="33">
        <f>IF(A19&lt;&gt;"",ROUND(SUMPRODUCT(C19:K19,C$2:K$2)/SUM(C$2:K$2),0),"")</f>
        <v/>
      </c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20">
        <f>IF(A19&lt;&gt;"",IF(B19&gt;=75,"✅ APPROVE",IF(B19&gt;=55,"⚠️ NEGOTIATE","❌ REJECT")),"")</f>
        <v/>
      </c>
    </row>
    <row r="21" ht="12" customHeight="1"/>
    <row r="22">
      <c r="A22" s="35" t="inlineStr">
        <is>
          <t>SCORING GUIDE</t>
        </is>
      </c>
    </row>
    <row r="23" ht="14" customHeight="1">
      <c r="A23" s="36" t="inlineStr">
        <is>
          <t>FOB Price</t>
        </is>
      </c>
      <c r="B23" s="37" t="inlineStr">
        <is>
          <t>10=&lt;$10/unit · 8=$10–14 · 6=$14–18 · 4=$18–22 · 2=&gt;$22</t>
        </is>
      </c>
      <c r="J23" s="38" t="inlineStr">
        <is>
          <t>Lowest = Best</t>
        </is>
      </c>
    </row>
    <row r="24" ht="14" customHeight="1">
      <c r="A24" s="36" t="inlineStr">
        <is>
          <t>D2D Margin</t>
        </is>
      </c>
      <c r="B24" s="37" t="inlineStr">
        <is>
          <t>10=&gt;55% gross · 8=45–55% · 6=35–45% · 4=25–35% · 2=&lt;25%</t>
        </is>
      </c>
      <c r="J24" s="38" t="inlineStr">
        <is>
          <t>Calculated from FOB and retail</t>
        </is>
      </c>
    </row>
    <row r="25" ht="14" customHeight="1">
      <c r="A25" s="36" t="inlineStr">
        <is>
          <t>Fabric Quality</t>
        </is>
      </c>
      <c r="B25" s="37" t="inlineStr">
        <is>
          <t>10=78% Nylon/Spandex confirmed · 8=Nylon blend · 5=Tech poly · 2=Cotton/basic</t>
        </is>
      </c>
      <c r="J25" s="38" t="inlineStr">
        <is>
          <t>LIONNA requires nylon/spandex</t>
        </is>
      </c>
    </row>
    <row r="26" ht="14" customHeight="1">
      <c r="A26" s="36" t="inlineStr">
        <is>
          <t>Design Capability</t>
        </is>
      </c>
      <c r="B26" s="37" t="inlineStr">
        <is>
          <t>10=Full design from brief · 7=Moderate · 4=Minor mods · 1=None</t>
        </is>
      </c>
      <c r="J26" s="38" t="inlineStr">
        <is>
          <t>Important for silhouette accuracy</t>
        </is>
      </c>
    </row>
    <row r="27" ht="14" customHeight="1">
      <c r="A27" s="36" t="inlineStr">
        <is>
          <t>Lead Time</t>
        </is>
      </c>
      <c r="B27" s="37" t="inlineStr">
        <is>
          <t>10=&lt;35 days · 8=35–50 · 6=50–65 · 4=65–80 · 2=&gt;80</t>
        </is>
      </c>
      <c r="J27" s="38" t="inlineStr">
        <is>
          <t>Days from order to ex-factory</t>
        </is>
      </c>
    </row>
    <row r="28" ht="14" customHeight="1">
      <c r="A28" s="36" t="inlineStr">
        <is>
          <t>Freight / Access</t>
        </is>
      </c>
      <c r="B28" s="37" t="inlineStr">
        <is>
          <t>10=FOB major port · 7=Std logistics · 4=Remote location</t>
        </is>
      </c>
      <c r="J28" s="38" t="inlineStr">
        <is>
          <t>Export ease and port access</t>
        </is>
      </c>
    </row>
    <row r="29" ht="14" customHeight="1">
      <c r="A29" s="36" t="inlineStr">
        <is>
          <t>Customization</t>
        </is>
      </c>
      <c r="B29" s="37" t="inlineStr">
        <is>
          <t>10=Full (label+emb+hangtag+jacquard) · 6=Partial · 2=None</t>
        </is>
      </c>
      <c r="J29" s="38" t="inlineStr">
        <is>
          <t>LIONNA needs full package</t>
        </is>
      </c>
    </row>
    <row r="30" ht="14" customHeight="1">
      <c r="A30" s="36" t="inlineStr">
        <is>
          <t>MOQ/Color</t>
        </is>
      </c>
      <c r="B30" s="37" t="inlineStr">
        <is>
          <t>10=≤50 pcs · 7=51–100 · 4=101–200 · 1=&gt;200</t>
        </is>
      </c>
      <c r="J30" s="38" t="inlineStr">
        <is>
          <t>LIONNA target: 50 pcs/color</t>
        </is>
      </c>
    </row>
    <row r="31" ht="14" customHeight="1">
      <c r="A31" s="36" t="inlineStr">
        <is>
          <t>MOQ/Size Run</t>
        </is>
      </c>
      <c r="B31" s="37" t="inlineStr">
        <is>
          <t>10=Accepts 5 sizes in 1 MOQ · 6=Some flexibility · 2=Strict</t>
        </is>
      </c>
      <c r="J31" s="38" t="inlineStr">
        <is>
          <t>Must accept PP,P,M,G,GG</t>
        </is>
      </c>
    </row>
  </sheetData>
  <mergeCells count="31">
    <mergeCell ref="J24:L24"/>
    <mergeCell ref="B25:I25"/>
    <mergeCell ref="A22:M22"/>
    <mergeCell ref="J27:L27"/>
    <mergeCell ref="J26:L26"/>
    <mergeCell ref="B31:I31"/>
    <mergeCell ref="J2"/>
    <mergeCell ref="B27:I27"/>
    <mergeCell ref="J25:L25"/>
    <mergeCell ref="J31:L31"/>
    <mergeCell ref="G2"/>
    <mergeCell ref="B23:I23"/>
    <mergeCell ref="I2"/>
    <mergeCell ref="A3:B3"/>
    <mergeCell ref="A2:B2"/>
    <mergeCell ref="A1:M1"/>
    <mergeCell ref="B29:I29"/>
    <mergeCell ref="J23:L23"/>
    <mergeCell ref="B28:I28"/>
    <mergeCell ref="D2"/>
    <mergeCell ref="J29:L29"/>
    <mergeCell ref="B30:I30"/>
    <mergeCell ref="J28:L28"/>
    <mergeCell ref="F2"/>
    <mergeCell ref="B24:I24"/>
    <mergeCell ref="H2"/>
    <mergeCell ref="C2"/>
    <mergeCell ref="E2"/>
    <mergeCell ref="K2"/>
    <mergeCell ref="J30:L30"/>
    <mergeCell ref="B26:I26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tabColor rgb="001C3A7A"/>
    <outlinePr summaryBelow="1" summaryRight="1"/>
    <pageSetUpPr fitToPage="1"/>
  </sheetPr>
  <dimension ref="A1:T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8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0" customWidth="1" min="17" max="17"/>
    <col width="10" customWidth="1" min="18" max="18"/>
    <col width="14" customWidth="1" min="19" max="19"/>
    <col width="28" customWidth="1" min="20" max="20"/>
  </cols>
  <sheetData>
    <row r="1" ht="26" customHeight="1">
      <c r="A1" s="21" t="inlineStr">
        <is>
          <t>LIONNA™ — RFQ-SS27-001 · Quote Log &amp; Landed Cost Analysis</t>
        </is>
      </c>
    </row>
    <row r="2" ht="18" customHeight="1">
      <c r="A2" s="39" t="inlineStr">
        <is>
          <t>Freight %</t>
        </is>
      </c>
      <c r="B2" s="40" t="n">
        <v>18</v>
      </c>
      <c r="C2" s="39" t="inlineStr">
        <is>
          <t>Import Duty %</t>
        </is>
      </c>
      <c r="D2" s="40" t="n">
        <v>20</v>
      </c>
      <c r="E2" s="39" t="inlineStr">
        <is>
          <t>QC &amp; Misc %</t>
        </is>
      </c>
      <c r="F2" s="40" t="n">
        <v>8</v>
      </c>
      <c r="G2" s="39" t="inlineStr">
        <is>
          <t>USD/BRL Rate</t>
        </is>
      </c>
      <c r="H2" s="40" t="n">
        <v>5.2</v>
      </c>
      <c r="I2" s="39" t="inlineStr">
        <is>
          <t>Platform Fee %</t>
        </is>
      </c>
      <c r="J2" s="40" t="n">
        <v>12</v>
      </c>
      <c r="K2" s="39" t="inlineStr">
        <is>
          <t>Return Rate %</t>
        </is>
      </c>
      <c r="L2" s="40" t="n">
        <v>8</v>
      </c>
    </row>
    <row r="3" ht="32" customHeight="1">
      <c r="A3" s="26" t="inlineStr">
        <is>
          <t>Quote ID</t>
        </is>
      </c>
      <c r="B3" s="26" t="inlineStr">
        <is>
          <t>Supplier</t>
        </is>
      </c>
      <c r="C3" s="26" t="inlineStr">
        <is>
          <t>SKU #</t>
        </is>
      </c>
      <c r="D3" s="26" t="inlineStr">
        <is>
          <t>Style Name</t>
        </is>
      </c>
      <c r="E3" s="26" t="inlineStr">
        <is>
          <t>FOB Price
(USD)</t>
        </is>
      </c>
      <c r="F3" s="26" t="inlineStr">
        <is>
          <t>Freight
(USD)</t>
        </is>
      </c>
      <c r="G3" s="26" t="inlineStr">
        <is>
          <t>Duty
(USD)</t>
        </is>
      </c>
      <c r="H3" s="26" t="inlineStr">
        <is>
          <t>QC Cost
(USD)</t>
        </is>
      </c>
      <c r="I3" s="26" t="inlineStr">
        <is>
          <t>Landed
(USD)</t>
        </is>
      </c>
      <c r="J3" s="26" t="inlineStr">
        <is>
          <t>FX Rate</t>
        </is>
      </c>
      <c r="K3" s="26" t="inlineStr">
        <is>
          <t>Landed
(R$)</t>
        </is>
      </c>
      <c r="L3" s="26" t="inlineStr">
        <is>
          <t>Retail
Min (R$)</t>
        </is>
      </c>
      <c r="M3" s="26" t="inlineStr">
        <is>
          <t>Retail
Max (R$)</t>
        </is>
      </c>
      <c r="N3" s="26" t="inlineStr">
        <is>
          <t>Gross
Margin %</t>
        </is>
      </c>
      <c r="O3" s="26" t="inlineStr">
        <is>
          <t>Net
Margin %</t>
        </is>
      </c>
      <c r="P3" s="26" t="inlineStr">
        <is>
          <t>MOQ/Color</t>
        </is>
      </c>
      <c r="Q3" s="26" t="inlineStr">
        <is>
          <t>Lead Time
(days)</t>
        </is>
      </c>
      <c r="R3" s="26" t="inlineStr">
        <is>
          <t>Sample
Cost</t>
        </is>
      </c>
      <c r="S3" s="26" t="inlineStr">
        <is>
          <t>Status</t>
        </is>
      </c>
      <c r="T3" s="26" t="inlineStr">
        <is>
          <t>Notes</t>
        </is>
      </c>
    </row>
    <row r="4" ht="18" customHeight="1">
      <c r="A4" s="41">
        <f>IF(B4&lt;&gt;"","Q-"&amp;TEXT(ROW()-3,"000"),"")</f>
        <v/>
      </c>
      <c r="B4" s="42" t="n"/>
      <c r="C4" s="42" t="n"/>
      <c r="D4" s="42" t="n"/>
      <c r="E4" s="42" t="n"/>
      <c r="F4" s="43">
        <f>IF(E4&lt;&gt;"",E4*B2/100,"")</f>
        <v/>
      </c>
      <c r="G4" s="43">
        <f>IF(E4&lt;&gt;"",E4*D2/100,"")</f>
        <v/>
      </c>
      <c r="H4" s="43">
        <f>IF(E4&lt;&gt;"",E4*F2/100,"")</f>
        <v/>
      </c>
      <c r="I4" s="44">
        <f>IF(E4&lt;&gt;"",E4+F4+G4+H4,"")</f>
        <v/>
      </c>
      <c r="J4" s="45">
        <f>IF(E4&lt;&gt;"",H2,"")</f>
        <v/>
      </c>
      <c r="K4" s="46">
        <f>IF(I4&lt;&gt;"",I4*J4,"")</f>
        <v/>
      </c>
      <c r="L4" s="42" t="n"/>
      <c r="M4" s="42" t="n"/>
      <c r="N4" s="47">
        <f>IF(AND(K4&lt;&gt;"",L4&lt;&gt;""),(L4-K4)/L4,"")</f>
        <v/>
      </c>
      <c r="O4" s="48">
        <f>IF(N4&lt;&gt;"",N4-J2/100-L2/100,"")</f>
        <v/>
      </c>
      <c r="P4" s="42" t="n"/>
      <c r="Q4" s="42" t="n"/>
      <c r="R4" s="42" t="n"/>
      <c r="S4" s="42" t="n"/>
      <c r="T4" s="42" t="n"/>
    </row>
    <row r="5" ht="18" customHeight="1">
      <c r="A5" s="49">
        <f>IF(B5&lt;&gt;"","Q-"&amp;TEXT(ROW()-3,"000"),"")</f>
        <v/>
      </c>
      <c r="B5" s="50" t="n"/>
      <c r="C5" s="50" t="n"/>
      <c r="D5" s="50" t="n"/>
      <c r="E5" s="50" t="n"/>
      <c r="F5" s="51">
        <f>IF(E5&lt;&gt;"",E5*B2/100,"")</f>
        <v/>
      </c>
      <c r="G5" s="51">
        <f>IF(E5&lt;&gt;"",E5*D2/100,"")</f>
        <v/>
      </c>
      <c r="H5" s="51">
        <f>IF(E5&lt;&gt;"",E5*F2/100,"")</f>
        <v/>
      </c>
      <c r="I5" s="44">
        <f>IF(E5&lt;&gt;"",E5+F5+G5+H5,"")</f>
        <v/>
      </c>
      <c r="J5" s="52">
        <f>IF(E5&lt;&gt;"",H2,"")</f>
        <v/>
      </c>
      <c r="K5" s="46">
        <f>IF(I5&lt;&gt;"",I5*J5,"")</f>
        <v/>
      </c>
      <c r="L5" s="50" t="n"/>
      <c r="M5" s="50" t="n"/>
      <c r="N5" s="47">
        <f>IF(AND(K5&lt;&gt;"",L5&lt;&gt;""),(L5-K5)/L5,"")</f>
        <v/>
      </c>
      <c r="O5" s="53">
        <f>IF(N5&lt;&gt;"",N5-J2/100-L2/100,"")</f>
        <v/>
      </c>
      <c r="P5" s="50" t="n"/>
      <c r="Q5" s="50" t="n"/>
      <c r="R5" s="50" t="n"/>
      <c r="S5" s="50" t="n"/>
      <c r="T5" s="50" t="n"/>
    </row>
    <row r="6" ht="18" customHeight="1">
      <c r="A6" s="41">
        <f>IF(B6&lt;&gt;"","Q-"&amp;TEXT(ROW()-3,"000"),"")</f>
        <v/>
      </c>
      <c r="B6" s="42" t="n"/>
      <c r="C6" s="42" t="n"/>
      <c r="D6" s="42" t="n"/>
      <c r="E6" s="42" t="n"/>
      <c r="F6" s="43">
        <f>IF(E6&lt;&gt;"",E6*B2/100,"")</f>
        <v/>
      </c>
      <c r="G6" s="43">
        <f>IF(E6&lt;&gt;"",E6*D2/100,"")</f>
        <v/>
      </c>
      <c r="H6" s="43">
        <f>IF(E6&lt;&gt;"",E6*F2/100,"")</f>
        <v/>
      </c>
      <c r="I6" s="44">
        <f>IF(E6&lt;&gt;"",E6+F6+G6+H6,"")</f>
        <v/>
      </c>
      <c r="J6" s="45">
        <f>IF(E6&lt;&gt;"",H2,"")</f>
        <v/>
      </c>
      <c r="K6" s="46">
        <f>IF(I6&lt;&gt;"",I6*J6,"")</f>
        <v/>
      </c>
      <c r="L6" s="42" t="n"/>
      <c r="M6" s="42" t="n"/>
      <c r="N6" s="47">
        <f>IF(AND(K6&lt;&gt;"",L6&lt;&gt;""),(L6-K6)/L6,"")</f>
        <v/>
      </c>
      <c r="O6" s="48">
        <f>IF(N6&lt;&gt;"",N6-J2/100-L2/100,"")</f>
        <v/>
      </c>
      <c r="P6" s="42" t="n"/>
      <c r="Q6" s="42" t="n"/>
      <c r="R6" s="42" t="n"/>
      <c r="S6" s="42" t="n"/>
      <c r="T6" s="42" t="n"/>
    </row>
    <row r="7" ht="18" customHeight="1">
      <c r="A7" s="49">
        <f>IF(B7&lt;&gt;"","Q-"&amp;TEXT(ROW()-3,"000"),"")</f>
        <v/>
      </c>
      <c r="B7" s="50" t="n"/>
      <c r="C7" s="50" t="n"/>
      <c r="D7" s="50" t="n"/>
      <c r="E7" s="50" t="n"/>
      <c r="F7" s="51">
        <f>IF(E7&lt;&gt;"",E7*B2/100,"")</f>
        <v/>
      </c>
      <c r="G7" s="51">
        <f>IF(E7&lt;&gt;"",E7*D2/100,"")</f>
        <v/>
      </c>
      <c r="H7" s="51">
        <f>IF(E7&lt;&gt;"",E7*F2/100,"")</f>
        <v/>
      </c>
      <c r="I7" s="44">
        <f>IF(E7&lt;&gt;"",E7+F7+G7+H7,"")</f>
        <v/>
      </c>
      <c r="J7" s="52">
        <f>IF(E7&lt;&gt;"",H2,"")</f>
        <v/>
      </c>
      <c r="K7" s="46">
        <f>IF(I7&lt;&gt;"",I7*J7,"")</f>
        <v/>
      </c>
      <c r="L7" s="50" t="n"/>
      <c r="M7" s="50" t="n"/>
      <c r="N7" s="47">
        <f>IF(AND(K7&lt;&gt;"",L7&lt;&gt;""),(L7-K7)/L7,"")</f>
        <v/>
      </c>
      <c r="O7" s="53">
        <f>IF(N7&lt;&gt;"",N7-J2/100-L2/100,"")</f>
        <v/>
      </c>
      <c r="P7" s="50" t="n"/>
      <c r="Q7" s="50" t="n"/>
      <c r="R7" s="50" t="n"/>
      <c r="S7" s="50" t="n"/>
      <c r="T7" s="50" t="n"/>
    </row>
    <row r="8" ht="18" customHeight="1">
      <c r="A8" s="41">
        <f>IF(B8&lt;&gt;"","Q-"&amp;TEXT(ROW()-3,"000"),"")</f>
        <v/>
      </c>
      <c r="B8" s="42" t="n"/>
      <c r="C8" s="42" t="n"/>
      <c r="D8" s="42" t="n"/>
      <c r="E8" s="42" t="n"/>
      <c r="F8" s="43">
        <f>IF(E8&lt;&gt;"",E8*B2/100,"")</f>
        <v/>
      </c>
      <c r="G8" s="43">
        <f>IF(E8&lt;&gt;"",E8*D2/100,"")</f>
        <v/>
      </c>
      <c r="H8" s="43">
        <f>IF(E8&lt;&gt;"",E8*F2/100,"")</f>
        <v/>
      </c>
      <c r="I8" s="44">
        <f>IF(E8&lt;&gt;"",E8+F8+G8+H8,"")</f>
        <v/>
      </c>
      <c r="J8" s="45">
        <f>IF(E8&lt;&gt;"",H2,"")</f>
        <v/>
      </c>
      <c r="K8" s="46">
        <f>IF(I8&lt;&gt;"",I8*J8,"")</f>
        <v/>
      </c>
      <c r="L8" s="42" t="n"/>
      <c r="M8" s="42" t="n"/>
      <c r="N8" s="47">
        <f>IF(AND(K8&lt;&gt;"",L8&lt;&gt;""),(L8-K8)/L8,"")</f>
        <v/>
      </c>
      <c r="O8" s="48">
        <f>IF(N8&lt;&gt;"",N8-J2/100-L2/100,"")</f>
        <v/>
      </c>
      <c r="P8" s="42" t="n"/>
      <c r="Q8" s="42" t="n"/>
      <c r="R8" s="42" t="n"/>
      <c r="S8" s="42" t="n"/>
      <c r="T8" s="42" t="n"/>
    </row>
    <row r="9" ht="18" customHeight="1">
      <c r="A9" s="49">
        <f>IF(B9&lt;&gt;"","Q-"&amp;TEXT(ROW()-3,"000"),"")</f>
        <v/>
      </c>
      <c r="B9" s="50" t="n"/>
      <c r="C9" s="50" t="n"/>
      <c r="D9" s="50" t="n"/>
      <c r="E9" s="50" t="n"/>
      <c r="F9" s="51">
        <f>IF(E9&lt;&gt;"",E9*B2/100,"")</f>
        <v/>
      </c>
      <c r="G9" s="51">
        <f>IF(E9&lt;&gt;"",E9*D2/100,"")</f>
        <v/>
      </c>
      <c r="H9" s="51">
        <f>IF(E9&lt;&gt;"",E9*F2/100,"")</f>
        <v/>
      </c>
      <c r="I9" s="44">
        <f>IF(E9&lt;&gt;"",E9+F9+G9+H9,"")</f>
        <v/>
      </c>
      <c r="J9" s="52">
        <f>IF(E9&lt;&gt;"",H2,"")</f>
        <v/>
      </c>
      <c r="K9" s="46">
        <f>IF(I9&lt;&gt;"",I9*J9,"")</f>
        <v/>
      </c>
      <c r="L9" s="50" t="n"/>
      <c r="M9" s="50" t="n"/>
      <c r="N9" s="47">
        <f>IF(AND(K9&lt;&gt;"",L9&lt;&gt;""),(L9-K9)/L9,"")</f>
        <v/>
      </c>
      <c r="O9" s="53">
        <f>IF(N9&lt;&gt;"",N9-J2/100-L2/100,"")</f>
        <v/>
      </c>
      <c r="P9" s="50" t="n"/>
      <c r="Q9" s="50" t="n"/>
      <c r="R9" s="50" t="n"/>
      <c r="S9" s="50" t="n"/>
      <c r="T9" s="50" t="n"/>
    </row>
    <row r="10" ht="18" customHeight="1">
      <c r="A10" s="41">
        <f>IF(B10&lt;&gt;"","Q-"&amp;TEXT(ROW()-3,"000"),"")</f>
        <v/>
      </c>
      <c r="B10" s="42" t="n"/>
      <c r="C10" s="42" t="n"/>
      <c r="D10" s="42" t="n"/>
      <c r="E10" s="42" t="n"/>
      <c r="F10" s="43">
        <f>IF(E10&lt;&gt;"",E10*B2/100,"")</f>
        <v/>
      </c>
      <c r="G10" s="43">
        <f>IF(E10&lt;&gt;"",E10*D2/100,"")</f>
        <v/>
      </c>
      <c r="H10" s="43">
        <f>IF(E10&lt;&gt;"",E10*F2/100,"")</f>
        <v/>
      </c>
      <c r="I10" s="44">
        <f>IF(E10&lt;&gt;"",E10+F10+G10+H10,"")</f>
        <v/>
      </c>
      <c r="J10" s="45">
        <f>IF(E10&lt;&gt;"",H2,"")</f>
        <v/>
      </c>
      <c r="K10" s="46">
        <f>IF(I10&lt;&gt;"",I10*J10,"")</f>
        <v/>
      </c>
      <c r="L10" s="42" t="n"/>
      <c r="M10" s="42" t="n"/>
      <c r="N10" s="47">
        <f>IF(AND(K10&lt;&gt;"",L10&lt;&gt;""),(L10-K10)/L10,"")</f>
        <v/>
      </c>
      <c r="O10" s="48">
        <f>IF(N10&lt;&gt;"",N10-J2/100-L2/100,"")</f>
        <v/>
      </c>
      <c r="P10" s="42" t="n"/>
      <c r="Q10" s="42" t="n"/>
      <c r="R10" s="42" t="n"/>
      <c r="S10" s="42" t="n"/>
      <c r="T10" s="42" t="n"/>
    </row>
    <row r="11" ht="18" customHeight="1">
      <c r="A11" s="49">
        <f>IF(B11&lt;&gt;"","Q-"&amp;TEXT(ROW()-3,"000"),"")</f>
        <v/>
      </c>
      <c r="B11" s="50" t="n"/>
      <c r="C11" s="50" t="n"/>
      <c r="D11" s="50" t="n"/>
      <c r="E11" s="50" t="n"/>
      <c r="F11" s="51">
        <f>IF(E11&lt;&gt;"",E11*B2/100,"")</f>
        <v/>
      </c>
      <c r="G11" s="51">
        <f>IF(E11&lt;&gt;"",E11*D2/100,"")</f>
        <v/>
      </c>
      <c r="H11" s="51">
        <f>IF(E11&lt;&gt;"",E11*F2/100,"")</f>
        <v/>
      </c>
      <c r="I11" s="44">
        <f>IF(E11&lt;&gt;"",E11+F11+G11+H11,"")</f>
        <v/>
      </c>
      <c r="J11" s="52">
        <f>IF(E11&lt;&gt;"",H2,"")</f>
        <v/>
      </c>
      <c r="K11" s="46">
        <f>IF(I11&lt;&gt;"",I11*J11,"")</f>
        <v/>
      </c>
      <c r="L11" s="50" t="n"/>
      <c r="M11" s="50" t="n"/>
      <c r="N11" s="47">
        <f>IF(AND(K11&lt;&gt;"",L11&lt;&gt;""),(L11-K11)/L11,"")</f>
        <v/>
      </c>
      <c r="O11" s="53">
        <f>IF(N11&lt;&gt;"",N11-J2/100-L2/100,"")</f>
        <v/>
      </c>
      <c r="P11" s="50" t="n"/>
      <c r="Q11" s="50" t="n"/>
      <c r="R11" s="50" t="n"/>
      <c r="S11" s="50" t="n"/>
      <c r="T11" s="50" t="n"/>
    </row>
    <row r="12" ht="18" customHeight="1">
      <c r="A12" s="41">
        <f>IF(B12&lt;&gt;"","Q-"&amp;TEXT(ROW()-3,"000"),"")</f>
        <v/>
      </c>
      <c r="B12" s="42" t="n"/>
      <c r="C12" s="42" t="n"/>
      <c r="D12" s="42" t="n"/>
      <c r="E12" s="42" t="n"/>
      <c r="F12" s="43">
        <f>IF(E12&lt;&gt;"",E12*B2/100,"")</f>
        <v/>
      </c>
      <c r="G12" s="43">
        <f>IF(E12&lt;&gt;"",E12*D2/100,"")</f>
        <v/>
      </c>
      <c r="H12" s="43">
        <f>IF(E12&lt;&gt;"",E12*F2/100,"")</f>
        <v/>
      </c>
      <c r="I12" s="44">
        <f>IF(E12&lt;&gt;"",E12+F12+G12+H12,"")</f>
        <v/>
      </c>
      <c r="J12" s="45">
        <f>IF(E12&lt;&gt;"",H2,"")</f>
        <v/>
      </c>
      <c r="K12" s="46">
        <f>IF(I12&lt;&gt;"",I12*J12,"")</f>
        <v/>
      </c>
      <c r="L12" s="42" t="n"/>
      <c r="M12" s="42" t="n"/>
      <c r="N12" s="47">
        <f>IF(AND(K12&lt;&gt;"",L12&lt;&gt;""),(L12-K12)/L12,"")</f>
        <v/>
      </c>
      <c r="O12" s="48">
        <f>IF(N12&lt;&gt;"",N12-J2/100-L2/100,"")</f>
        <v/>
      </c>
      <c r="P12" s="42" t="n"/>
      <c r="Q12" s="42" t="n"/>
      <c r="R12" s="42" t="n"/>
      <c r="S12" s="42" t="n"/>
      <c r="T12" s="42" t="n"/>
    </row>
    <row r="13" ht="18" customHeight="1">
      <c r="A13" s="49">
        <f>IF(B13&lt;&gt;"","Q-"&amp;TEXT(ROW()-3,"000"),"")</f>
        <v/>
      </c>
      <c r="B13" s="50" t="n"/>
      <c r="C13" s="50" t="n"/>
      <c r="D13" s="50" t="n"/>
      <c r="E13" s="50" t="n"/>
      <c r="F13" s="51">
        <f>IF(E13&lt;&gt;"",E13*B2/100,"")</f>
        <v/>
      </c>
      <c r="G13" s="51">
        <f>IF(E13&lt;&gt;"",E13*D2/100,"")</f>
        <v/>
      </c>
      <c r="H13" s="51">
        <f>IF(E13&lt;&gt;"",E13*F2/100,"")</f>
        <v/>
      </c>
      <c r="I13" s="44">
        <f>IF(E13&lt;&gt;"",E13+F13+G13+H13,"")</f>
        <v/>
      </c>
      <c r="J13" s="52">
        <f>IF(E13&lt;&gt;"",H2,"")</f>
        <v/>
      </c>
      <c r="K13" s="46">
        <f>IF(I13&lt;&gt;"",I13*J13,"")</f>
        <v/>
      </c>
      <c r="L13" s="50" t="n"/>
      <c r="M13" s="50" t="n"/>
      <c r="N13" s="47">
        <f>IF(AND(K13&lt;&gt;"",L13&lt;&gt;""),(L13-K13)/L13,"")</f>
        <v/>
      </c>
      <c r="O13" s="53">
        <f>IF(N13&lt;&gt;"",N13-J2/100-L2/100,"")</f>
        <v/>
      </c>
      <c r="P13" s="50" t="n"/>
      <c r="Q13" s="50" t="n"/>
      <c r="R13" s="50" t="n"/>
      <c r="S13" s="50" t="n"/>
      <c r="T13" s="50" t="n"/>
    </row>
    <row r="14" ht="18" customHeight="1">
      <c r="A14" s="41">
        <f>IF(B14&lt;&gt;"","Q-"&amp;TEXT(ROW()-3,"000"),"")</f>
        <v/>
      </c>
      <c r="B14" s="42" t="n"/>
      <c r="C14" s="42" t="n"/>
      <c r="D14" s="42" t="n"/>
      <c r="E14" s="42" t="n"/>
      <c r="F14" s="43">
        <f>IF(E14&lt;&gt;"",E14*B2/100,"")</f>
        <v/>
      </c>
      <c r="G14" s="43">
        <f>IF(E14&lt;&gt;"",E14*D2/100,"")</f>
        <v/>
      </c>
      <c r="H14" s="43">
        <f>IF(E14&lt;&gt;"",E14*F2/100,"")</f>
        <v/>
      </c>
      <c r="I14" s="44">
        <f>IF(E14&lt;&gt;"",E14+F14+G14+H14,"")</f>
        <v/>
      </c>
      <c r="J14" s="45">
        <f>IF(E14&lt;&gt;"",H2,"")</f>
        <v/>
      </c>
      <c r="K14" s="46">
        <f>IF(I14&lt;&gt;"",I14*J14,"")</f>
        <v/>
      </c>
      <c r="L14" s="42" t="n"/>
      <c r="M14" s="42" t="n"/>
      <c r="N14" s="47">
        <f>IF(AND(K14&lt;&gt;"",L14&lt;&gt;""),(L14-K14)/L14,"")</f>
        <v/>
      </c>
      <c r="O14" s="48">
        <f>IF(N14&lt;&gt;"",N14-J2/100-L2/100,"")</f>
        <v/>
      </c>
      <c r="P14" s="42" t="n"/>
      <c r="Q14" s="42" t="n"/>
      <c r="R14" s="42" t="n"/>
      <c r="S14" s="42" t="n"/>
      <c r="T14" s="42" t="n"/>
    </row>
    <row r="15" ht="18" customHeight="1">
      <c r="A15" s="49">
        <f>IF(B15&lt;&gt;"","Q-"&amp;TEXT(ROW()-3,"000"),"")</f>
        <v/>
      </c>
      <c r="B15" s="50" t="n"/>
      <c r="C15" s="50" t="n"/>
      <c r="D15" s="50" t="n"/>
      <c r="E15" s="50" t="n"/>
      <c r="F15" s="51">
        <f>IF(E15&lt;&gt;"",E15*B2/100,"")</f>
        <v/>
      </c>
      <c r="G15" s="51">
        <f>IF(E15&lt;&gt;"",E15*D2/100,"")</f>
        <v/>
      </c>
      <c r="H15" s="51">
        <f>IF(E15&lt;&gt;"",E15*F2/100,"")</f>
        <v/>
      </c>
      <c r="I15" s="44">
        <f>IF(E15&lt;&gt;"",E15+F15+G15+H15,"")</f>
        <v/>
      </c>
      <c r="J15" s="52">
        <f>IF(E15&lt;&gt;"",H2,"")</f>
        <v/>
      </c>
      <c r="K15" s="46">
        <f>IF(I15&lt;&gt;"",I15*J15,"")</f>
        <v/>
      </c>
      <c r="L15" s="50" t="n"/>
      <c r="M15" s="50" t="n"/>
      <c r="N15" s="47">
        <f>IF(AND(K15&lt;&gt;"",L15&lt;&gt;""),(L15-K15)/L15,"")</f>
        <v/>
      </c>
      <c r="O15" s="53">
        <f>IF(N15&lt;&gt;"",N15-J2/100-L2/100,"")</f>
        <v/>
      </c>
      <c r="P15" s="50" t="n"/>
      <c r="Q15" s="50" t="n"/>
      <c r="R15" s="50" t="n"/>
      <c r="S15" s="50" t="n"/>
      <c r="T15" s="50" t="n"/>
    </row>
    <row r="16" ht="18" customHeight="1">
      <c r="A16" s="41">
        <f>IF(B16&lt;&gt;"","Q-"&amp;TEXT(ROW()-3,"000"),"")</f>
        <v/>
      </c>
      <c r="B16" s="42" t="n"/>
      <c r="C16" s="42" t="n"/>
      <c r="D16" s="42" t="n"/>
      <c r="E16" s="42" t="n"/>
      <c r="F16" s="43">
        <f>IF(E16&lt;&gt;"",E16*B2/100,"")</f>
        <v/>
      </c>
      <c r="G16" s="43">
        <f>IF(E16&lt;&gt;"",E16*D2/100,"")</f>
        <v/>
      </c>
      <c r="H16" s="43">
        <f>IF(E16&lt;&gt;"",E16*F2/100,"")</f>
        <v/>
      </c>
      <c r="I16" s="44">
        <f>IF(E16&lt;&gt;"",E16+F16+G16+H16,"")</f>
        <v/>
      </c>
      <c r="J16" s="45">
        <f>IF(E16&lt;&gt;"",H2,"")</f>
        <v/>
      </c>
      <c r="K16" s="46">
        <f>IF(I16&lt;&gt;"",I16*J16,"")</f>
        <v/>
      </c>
      <c r="L16" s="42" t="n"/>
      <c r="M16" s="42" t="n"/>
      <c r="N16" s="47">
        <f>IF(AND(K16&lt;&gt;"",L16&lt;&gt;""),(L16-K16)/L16,"")</f>
        <v/>
      </c>
      <c r="O16" s="48">
        <f>IF(N16&lt;&gt;"",N16-J2/100-L2/100,"")</f>
        <v/>
      </c>
      <c r="P16" s="42" t="n"/>
      <c r="Q16" s="42" t="n"/>
      <c r="R16" s="42" t="n"/>
      <c r="S16" s="42" t="n"/>
      <c r="T16" s="42" t="n"/>
    </row>
    <row r="17" ht="18" customHeight="1">
      <c r="A17" s="49">
        <f>IF(B17&lt;&gt;"","Q-"&amp;TEXT(ROW()-3,"000"),"")</f>
        <v/>
      </c>
      <c r="B17" s="50" t="n"/>
      <c r="C17" s="50" t="n"/>
      <c r="D17" s="50" t="n"/>
      <c r="E17" s="50" t="n"/>
      <c r="F17" s="51">
        <f>IF(E17&lt;&gt;"",E17*B2/100,"")</f>
        <v/>
      </c>
      <c r="G17" s="51">
        <f>IF(E17&lt;&gt;"",E17*D2/100,"")</f>
        <v/>
      </c>
      <c r="H17" s="51">
        <f>IF(E17&lt;&gt;"",E17*F2/100,"")</f>
        <v/>
      </c>
      <c r="I17" s="44">
        <f>IF(E17&lt;&gt;"",E17+F17+G17+H17,"")</f>
        <v/>
      </c>
      <c r="J17" s="52">
        <f>IF(E17&lt;&gt;"",H2,"")</f>
        <v/>
      </c>
      <c r="K17" s="46">
        <f>IF(I17&lt;&gt;"",I17*J17,"")</f>
        <v/>
      </c>
      <c r="L17" s="50" t="n"/>
      <c r="M17" s="50" t="n"/>
      <c r="N17" s="47">
        <f>IF(AND(K17&lt;&gt;"",L17&lt;&gt;""),(L17-K17)/L17,"")</f>
        <v/>
      </c>
      <c r="O17" s="53">
        <f>IF(N17&lt;&gt;"",N17-J2/100-L2/100,"")</f>
        <v/>
      </c>
      <c r="P17" s="50" t="n"/>
      <c r="Q17" s="50" t="n"/>
      <c r="R17" s="50" t="n"/>
      <c r="S17" s="50" t="n"/>
      <c r="T17" s="50" t="n"/>
    </row>
    <row r="18" ht="18" customHeight="1">
      <c r="A18" s="41">
        <f>IF(B18&lt;&gt;"","Q-"&amp;TEXT(ROW()-3,"000"),"")</f>
        <v/>
      </c>
      <c r="B18" s="42" t="n"/>
      <c r="C18" s="42" t="n"/>
      <c r="D18" s="42" t="n"/>
      <c r="E18" s="42" t="n"/>
      <c r="F18" s="43">
        <f>IF(E18&lt;&gt;"",E18*B2/100,"")</f>
        <v/>
      </c>
      <c r="G18" s="43">
        <f>IF(E18&lt;&gt;"",E18*D2/100,"")</f>
        <v/>
      </c>
      <c r="H18" s="43">
        <f>IF(E18&lt;&gt;"",E18*F2/100,"")</f>
        <v/>
      </c>
      <c r="I18" s="44">
        <f>IF(E18&lt;&gt;"",E18+F18+G18+H18,"")</f>
        <v/>
      </c>
      <c r="J18" s="45">
        <f>IF(E18&lt;&gt;"",H2,"")</f>
        <v/>
      </c>
      <c r="K18" s="46">
        <f>IF(I18&lt;&gt;"",I18*J18,"")</f>
        <v/>
      </c>
      <c r="L18" s="42" t="n"/>
      <c r="M18" s="42" t="n"/>
      <c r="N18" s="47">
        <f>IF(AND(K18&lt;&gt;"",L18&lt;&gt;""),(L18-K18)/L18,"")</f>
        <v/>
      </c>
      <c r="O18" s="48">
        <f>IF(N18&lt;&gt;"",N18-J2/100-L2/100,"")</f>
        <v/>
      </c>
      <c r="P18" s="42" t="n"/>
      <c r="Q18" s="42" t="n"/>
      <c r="R18" s="42" t="n"/>
      <c r="S18" s="42" t="n"/>
      <c r="T18" s="42" t="n"/>
    </row>
    <row r="19" ht="18" customHeight="1">
      <c r="A19" s="49">
        <f>IF(B19&lt;&gt;"","Q-"&amp;TEXT(ROW()-3,"000"),"")</f>
        <v/>
      </c>
      <c r="B19" s="50" t="n"/>
      <c r="C19" s="50" t="n"/>
      <c r="D19" s="50" t="n"/>
      <c r="E19" s="50" t="n"/>
      <c r="F19" s="51">
        <f>IF(E19&lt;&gt;"",E19*B2/100,"")</f>
        <v/>
      </c>
      <c r="G19" s="51">
        <f>IF(E19&lt;&gt;"",E19*D2/100,"")</f>
        <v/>
      </c>
      <c r="H19" s="51">
        <f>IF(E19&lt;&gt;"",E19*F2/100,"")</f>
        <v/>
      </c>
      <c r="I19" s="44">
        <f>IF(E19&lt;&gt;"",E19+F19+G19+H19,"")</f>
        <v/>
      </c>
      <c r="J19" s="52">
        <f>IF(E19&lt;&gt;"",H2,"")</f>
        <v/>
      </c>
      <c r="K19" s="46">
        <f>IF(I19&lt;&gt;"",I19*J19,"")</f>
        <v/>
      </c>
      <c r="L19" s="50" t="n"/>
      <c r="M19" s="50" t="n"/>
      <c r="N19" s="47">
        <f>IF(AND(K19&lt;&gt;"",L19&lt;&gt;""),(L19-K19)/L19,"")</f>
        <v/>
      </c>
      <c r="O19" s="53">
        <f>IF(N19&lt;&gt;"",N19-J2/100-L2/100,"")</f>
        <v/>
      </c>
      <c r="P19" s="50" t="n"/>
      <c r="Q19" s="50" t="n"/>
      <c r="R19" s="50" t="n"/>
      <c r="S19" s="50" t="n"/>
      <c r="T19" s="50" t="n"/>
    </row>
    <row r="20" ht="18" customHeight="1">
      <c r="A20" s="41">
        <f>IF(B20&lt;&gt;"","Q-"&amp;TEXT(ROW()-3,"000"),"")</f>
        <v/>
      </c>
      <c r="B20" s="42" t="n"/>
      <c r="C20" s="42" t="n"/>
      <c r="D20" s="42" t="n"/>
      <c r="E20" s="42" t="n"/>
      <c r="F20" s="43">
        <f>IF(E20&lt;&gt;"",E20*B2/100,"")</f>
        <v/>
      </c>
      <c r="G20" s="43">
        <f>IF(E20&lt;&gt;"",E20*D2/100,"")</f>
        <v/>
      </c>
      <c r="H20" s="43">
        <f>IF(E20&lt;&gt;"",E20*F2/100,"")</f>
        <v/>
      </c>
      <c r="I20" s="44">
        <f>IF(E20&lt;&gt;"",E20+F20+G20+H20,"")</f>
        <v/>
      </c>
      <c r="J20" s="45">
        <f>IF(E20&lt;&gt;"",H2,"")</f>
        <v/>
      </c>
      <c r="K20" s="46">
        <f>IF(I20&lt;&gt;"",I20*J20,"")</f>
        <v/>
      </c>
      <c r="L20" s="42" t="n"/>
      <c r="M20" s="42" t="n"/>
      <c r="N20" s="47">
        <f>IF(AND(K20&lt;&gt;"",L20&lt;&gt;""),(L20-K20)/L20,"")</f>
        <v/>
      </c>
      <c r="O20" s="48">
        <f>IF(N20&lt;&gt;"",N20-J2/100-L2/100,"")</f>
        <v/>
      </c>
      <c r="P20" s="42" t="n"/>
      <c r="Q20" s="42" t="n"/>
      <c r="R20" s="42" t="n"/>
      <c r="S20" s="42" t="n"/>
      <c r="T20" s="42" t="n"/>
    </row>
    <row r="21" ht="18" customHeight="1">
      <c r="A21" s="49">
        <f>IF(B21&lt;&gt;"","Q-"&amp;TEXT(ROW()-3,"000"),"")</f>
        <v/>
      </c>
      <c r="B21" s="50" t="n"/>
      <c r="C21" s="50" t="n"/>
      <c r="D21" s="50" t="n"/>
      <c r="E21" s="50" t="n"/>
      <c r="F21" s="51">
        <f>IF(E21&lt;&gt;"",E21*B2/100,"")</f>
        <v/>
      </c>
      <c r="G21" s="51">
        <f>IF(E21&lt;&gt;"",E21*D2/100,"")</f>
        <v/>
      </c>
      <c r="H21" s="51">
        <f>IF(E21&lt;&gt;"",E21*F2/100,"")</f>
        <v/>
      </c>
      <c r="I21" s="44">
        <f>IF(E21&lt;&gt;"",E21+F21+G21+H21,"")</f>
        <v/>
      </c>
      <c r="J21" s="52">
        <f>IF(E21&lt;&gt;"",H2,"")</f>
        <v/>
      </c>
      <c r="K21" s="46">
        <f>IF(I21&lt;&gt;"",I21*J21,"")</f>
        <v/>
      </c>
      <c r="L21" s="50" t="n"/>
      <c r="M21" s="50" t="n"/>
      <c r="N21" s="47">
        <f>IF(AND(K21&lt;&gt;"",L21&lt;&gt;""),(L21-K21)/L21,"")</f>
        <v/>
      </c>
      <c r="O21" s="53">
        <f>IF(N21&lt;&gt;"",N21-J2/100-L2/100,"")</f>
        <v/>
      </c>
      <c r="P21" s="50" t="n"/>
      <c r="Q21" s="50" t="n"/>
      <c r="R21" s="50" t="n"/>
      <c r="S21" s="50" t="n"/>
      <c r="T21" s="50" t="n"/>
    </row>
    <row r="22" ht="18" customHeight="1">
      <c r="A22" s="41">
        <f>IF(B22&lt;&gt;"","Q-"&amp;TEXT(ROW()-3,"000"),"")</f>
        <v/>
      </c>
      <c r="B22" s="42" t="n"/>
      <c r="C22" s="42" t="n"/>
      <c r="D22" s="42" t="n"/>
      <c r="E22" s="42" t="n"/>
      <c r="F22" s="43">
        <f>IF(E22&lt;&gt;"",E22*B2/100,"")</f>
        <v/>
      </c>
      <c r="G22" s="43">
        <f>IF(E22&lt;&gt;"",E22*D2/100,"")</f>
        <v/>
      </c>
      <c r="H22" s="43">
        <f>IF(E22&lt;&gt;"",E22*F2/100,"")</f>
        <v/>
      </c>
      <c r="I22" s="44">
        <f>IF(E22&lt;&gt;"",E22+F22+G22+H22,"")</f>
        <v/>
      </c>
      <c r="J22" s="45">
        <f>IF(E22&lt;&gt;"",H2,"")</f>
        <v/>
      </c>
      <c r="K22" s="46">
        <f>IF(I22&lt;&gt;"",I22*J22,"")</f>
        <v/>
      </c>
      <c r="L22" s="42" t="n"/>
      <c r="M22" s="42" t="n"/>
      <c r="N22" s="47">
        <f>IF(AND(K22&lt;&gt;"",L22&lt;&gt;""),(L22-K22)/L22,"")</f>
        <v/>
      </c>
      <c r="O22" s="48">
        <f>IF(N22&lt;&gt;"",N22-J2/100-L2/100,"")</f>
        <v/>
      </c>
      <c r="P22" s="42" t="n"/>
      <c r="Q22" s="42" t="n"/>
      <c r="R22" s="42" t="n"/>
      <c r="S22" s="42" t="n"/>
      <c r="T22" s="42" t="n"/>
    </row>
    <row r="23" ht="18" customHeight="1">
      <c r="A23" s="49">
        <f>IF(B23&lt;&gt;"","Q-"&amp;TEXT(ROW()-3,"000"),"")</f>
        <v/>
      </c>
      <c r="B23" s="50" t="n"/>
      <c r="C23" s="50" t="n"/>
      <c r="D23" s="50" t="n"/>
      <c r="E23" s="50" t="n"/>
      <c r="F23" s="51">
        <f>IF(E23&lt;&gt;"",E23*B2/100,"")</f>
        <v/>
      </c>
      <c r="G23" s="51">
        <f>IF(E23&lt;&gt;"",E23*D2/100,"")</f>
        <v/>
      </c>
      <c r="H23" s="51">
        <f>IF(E23&lt;&gt;"",E23*F2/100,"")</f>
        <v/>
      </c>
      <c r="I23" s="44">
        <f>IF(E23&lt;&gt;"",E23+F23+G23+H23,"")</f>
        <v/>
      </c>
      <c r="J23" s="52">
        <f>IF(E23&lt;&gt;"",H2,"")</f>
        <v/>
      </c>
      <c r="K23" s="46">
        <f>IF(I23&lt;&gt;"",I23*J23,"")</f>
        <v/>
      </c>
      <c r="L23" s="50" t="n"/>
      <c r="M23" s="50" t="n"/>
      <c r="N23" s="47">
        <f>IF(AND(K23&lt;&gt;"",L23&lt;&gt;""),(L23-K23)/L23,"")</f>
        <v/>
      </c>
      <c r="O23" s="53">
        <f>IF(N23&lt;&gt;"",N23-J2/100-L2/100,"")</f>
        <v/>
      </c>
      <c r="P23" s="50" t="n"/>
      <c r="Q23" s="50" t="n"/>
      <c r="R23" s="50" t="n"/>
      <c r="S23" s="50" t="n"/>
      <c r="T23" s="50" t="n"/>
    </row>
    <row r="24" ht="18" customHeight="1">
      <c r="A24" s="41">
        <f>IF(B24&lt;&gt;"","Q-"&amp;TEXT(ROW()-3,"000"),"")</f>
        <v/>
      </c>
      <c r="B24" s="42" t="n"/>
      <c r="C24" s="42" t="n"/>
      <c r="D24" s="42" t="n"/>
      <c r="E24" s="42" t="n"/>
      <c r="F24" s="43">
        <f>IF(E24&lt;&gt;"",E24*B2/100,"")</f>
        <v/>
      </c>
      <c r="G24" s="43">
        <f>IF(E24&lt;&gt;"",E24*D2/100,"")</f>
        <v/>
      </c>
      <c r="H24" s="43">
        <f>IF(E24&lt;&gt;"",E24*F2/100,"")</f>
        <v/>
      </c>
      <c r="I24" s="44">
        <f>IF(E24&lt;&gt;"",E24+F24+G24+H24,"")</f>
        <v/>
      </c>
      <c r="J24" s="45">
        <f>IF(E24&lt;&gt;"",H2,"")</f>
        <v/>
      </c>
      <c r="K24" s="46">
        <f>IF(I24&lt;&gt;"",I24*J24,"")</f>
        <v/>
      </c>
      <c r="L24" s="42" t="n"/>
      <c r="M24" s="42" t="n"/>
      <c r="N24" s="47">
        <f>IF(AND(K24&lt;&gt;"",L24&lt;&gt;""),(L24-K24)/L24,"")</f>
        <v/>
      </c>
      <c r="O24" s="48">
        <f>IF(N24&lt;&gt;"",N24-J2/100-L2/100,"")</f>
        <v/>
      </c>
      <c r="P24" s="42" t="n"/>
      <c r="Q24" s="42" t="n"/>
      <c r="R24" s="42" t="n"/>
      <c r="S24" s="42" t="n"/>
      <c r="T24" s="42" t="n"/>
    </row>
    <row r="25" ht="18" customHeight="1">
      <c r="A25" s="49">
        <f>IF(B25&lt;&gt;"","Q-"&amp;TEXT(ROW()-3,"000"),"")</f>
        <v/>
      </c>
      <c r="B25" s="50" t="n"/>
      <c r="C25" s="50" t="n"/>
      <c r="D25" s="50" t="n"/>
      <c r="E25" s="50" t="n"/>
      <c r="F25" s="51">
        <f>IF(E25&lt;&gt;"",E25*B2/100,"")</f>
        <v/>
      </c>
      <c r="G25" s="51">
        <f>IF(E25&lt;&gt;"",E25*D2/100,"")</f>
        <v/>
      </c>
      <c r="H25" s="51">
        <f>IF(E25&lt;&gt;"",E25*F2/100,"")</f>
        <v/>
      </c>
      <c r="I25" s="44">
        <f>IF(E25&lt;&gt;"",E25+F25+G25+H25,"")</f>
        <v/>
      </c>
      <c r="J25" s="52">
        <f>IF(E25&lt;&gt;"",H2,"")</f>
        <v/>
      </c>
      <c r="K25" s="46">
        <f>IF(I25&lt;&gt;"",I25*J25,"")</f>
        <v/>
      </c>
      <c r="L25" s="50" t="n"/>
      <c r="M25" s="50" t="n"/>
      <c r="N25" s="47">
        <f>IF(AND(K25&lt;&gt;"",L25&lt;&gt;""),(L25-K25)/L25,"")</f>
        <v/>
      </c>
      <c r="O25" s="53">
        <f>IF(N25&lt;&gt;"",N25-J2/100-L2/100,"")</f>
        <v/>
      </c>
      <c r="P25" s="50" t="n"/>
      <c r="Q25" s="50" t="n"/>
      <c r="R25" s="50" t="n"/>
      <c r="S25" s="50" t="n"/>
      <c r="T25" s="50" t="n"/>
    </row>
    <row r="26" ht="18" customHeight="1">
      <c r="A26" s="41">
        <f>IF(B26&lt;&gt;"","Q-"&amp;TEXT(ROW()-3,"000"),"")</f>
        <v/>
      </c>
      <c r="B26" s="42" t="n"/>
      <c r="C26" s="42" t="n"/>
      <c r="D26" s="42" t="n"/>
      <c r="E26" s="42" t="n"/>
      <c r="F26" s="43">
        <f>IF(E26&lt;&gt;"",E26*B2/100,"")</f>
        <v/>
      </c>
      <c r="G26" s="43">
        <f>IF(E26&lt;&gt;"",E26*D2/100,"")</f>
        <v/>
      </c>
      <c r="H26" s="43">
        <f>IF(E26&lt;&gt;"",E26*F2/100,"")</f>
        <v/>
      </c>
      <c r="I26" s="44">
        <f>IF(E26&lt;&gt;"",E26+F26+G26+H26,"")</f>
        <v/>
      </c>
      <c r="J26" s="45">
        <f>IF(E26&lt;&gt;"",H2,"")</f>
        <v/>
      </c>
      <c r="K26" s="46">
        <f>IF(I26&lt;&gt;"",I26*J26,"")</f>
        <v/>
      </c>
      <c r="L26" s="42" t="n"/>
      <c r="M26" s="42" t="n"/>
      <c r="N26" s="47">
        <f>IF(AND(K26&lt;&gt;"",L26&lt;&gt;""),(L26-K26)/L26,"")</f>
        <v/>
      </c>
      <c r="O26" s="48">
        <f>IF(N26&lt;&gt;"",N26-J2/100-L2/100,"")</f>
        <v/>
      </c>
      <c r="P26" s="42" t="n"/>
      <c r="Q26" s="42" t="n"/>
      <c r="R26" s="42" t="n"/>
      <c r="S26" s="42" t="n"/>
      <c r="T26" s="42" t="n"/>
    </row>
    <row r="27" ht="18" customHeight="1">
      <c r="A27" s="49">
        <f>IF(B27&lt;&gt;"","Q-"&amp;TEXT(ROW()-3,"000"),"")</f>
        <v/>
      </c>
      <c r="B27" s="50" t="n"/>
      <c r="C27" s="50" t="n"/>
      <c r="D27" s="50" t="n"/>
      <c r="E27" s="50" t="n"/>
      <c r="F27" s="51">
        <f>IF(E27&lt;&gt;"",E27*B2/100,"")</f>
        <v/>
      </c>
      <c r="G27" s="51">
        <f>IF(E27&lt;&gt;"",E27*D2/100,"")</f>
        <v/>
      </c>
      <c r="H27" s="51">
        <f>IF(E27&lt;&gt;"",E27*F2/100,"")</f>
        <v/>
      </c>
      <c r="I27" s="44">
        <f>IF(E27&lt;&gt;"",E27+F27+G27+H27,"")</f>
        <v/>
      </c>
      <c r="J27" s="52">
        <f>IF(E27&lt;&gt;"",H2,"")</f>
        <v/>
      </c>
      <c r="K27" s="46">
        <f>IF(I27&lt;&gt;"",I27*J27,"")</f>
        <v/>
      </c>
      <c r="L27" s="50" t="n"/>
      <c r="M27" s="50" t="n"/>
      <c r="N27" s="47">
        <f>IF(AND(K27&lt;&gt;"",L27&lt;&gt;""),(L27-K27)/L27,"")</f>
        <v/>
      </c>
      <c r="O27" s="53">
        <f>IF(N27&lt;&gt;"",N27-J2/100-L2/100,"")</f>
        <v/>
      </c>
      <c r="P27" s="50" t="n"/>
      <c r="Q27" s="50" t="n"/>
      <c r="R27" s="50" t="n"/>
      <c r="S27" s="50" t="n"/>
      <c r="T27" s="50" t="n"/>
    </row>
    <row r="28" ht="18" customHeight="1">
      <c r="A28" s="41">
        <f>IF(B28&lt;&gt;"","Q-"&amp;TEXT(ROW()-3,"000"),"")</f>
        <v/>
      </c>
      <c r="B28" s="42" t="n"/>
      <c r="C28" s="42" t="n"/>
      <c r="D28" s="42" t="n"/>
      <c r="E28" s="42" t="n"/>
      <c r="F28" s="43">
        <f>IF(E28&lt;&gt;"",E28*B2/100,"")</f>
        <v/>
      </c>
      <c r="G28" s="43">
        <f>IF(E28&lt;&gt;"",E28*D2/100,"")</f>
        <v/>
      </c>
      <c r="H28" s="43">
        <f>IF(E28&lt;&gt;"",E28*F2/100,"")</f>
        <v/>
      </c>
      <c r="I28" s="44">
        <f>IF(E28&lt;&gt;"",E28+F28+G28+H28,"")</f>
        <v/>
      </c>
      <c r="J28" s="45">
        <f>IF(E28&lt;&gt;"",H2,"")</f>
        <v/>
      </c>
      <c r="K28" s="46">
        <f>IF(I28&lt;&gt;"",I28*J28,"")</f>
        <v/>
      </c>
      <c r="L28" s="42" t="n"/>
      <c r="M28" s="42" t="n"/>
      <c r="N28" s="47">
        <f>IF(AND(K28&lt;&gt;"",L28&lt;&gt;""),(L28-K28)/L28,"")</f>
        <v/>
      </c>
      <c r="O28" s="48">
        <f>IF(N28&lt;&gt;"",N28-J2/100-L2/100,"")</f>
        <v/>
      </c>
      <c r="P28" s="42" t="n"/>
      <c r="Q28" s="42" t="n"/>
      <c r="R28" s="42" t="n"/>
      <c r="S28" s="42" t="n"/>
      <c r="T28" s="42" t="n"/>
    </row>
    <row r="29" ht="18" customHeight="1">
      <c r="A29" s="49">
        <f>IF(B29&lt;&gt;"","Q-"&amp;TEXT(ROW()-3,"000"),"")</f>
        <v/>
      </c>
      <c r="B29" s="50" t="n"/>
      <c r="C29" s="50" t="n"/>
      <c r="D29" s="50" t="n"/>
      <c r="E29" s="50" t="n"/>
      <c r="F29" s="51">
        <f>IF(E29&lt;&gt;"",E29*B2/100,"")</f>
        <v/>
      </c>
      <c r="G29" s="51">
        <f>IF(E29&lt;&gt;"",E29*D2/100,"")</f>
        <v/>
      </c>
      <c r="H29" s="51">
        <f>IF(E29&lt;&gt;"",E29*F2/100,"")</f>
        <v/>
      </c>
      <c r="I29" s="44">
        <f>IF(E29&lt;&gt;"",E29+F29+G29+H29,"")</f>
        <v/>
      </c>
      <c r="J29" s="52">
        <f>IF(E29&lt;&gt;"",H2,"")</f>
        <v/>
      </c>
      <c r="K29" s="46">
        <f>IF(I29&lt;&gt;"",I29*J29,"")</f>
        <v/>
      </c>
      <c r="L29" s="50" t="n"/>
      <c r="M29" s="50" t="n"/>
      <c r="N29" s="47">
        <f>IF(AND(K29&lt;&gt;"",L29&lt;&gt;""),(L29-K29)/L29,"")</f>
        <v/>
      </c>
      <c r="O29" s="53">
        <f>IF(N29&lt;&gt;"",N29-J2/100-L2/100,"")</f>
        <v/>
      </c>
      <c r="P29" s="50" t="n"/>
      <c r="Q29" s="50" t="n"/>
      <c r="R29" s="50" t="n"/>
      <c r="S29" s="50" t="n"/>
      <c r="T29" s="50" t="n"/>
    </row>
    <row r="30" ht="18" customHeight="1">
      <c r="A30" s="41">
        <f>IF(B30&lt;&gt;"","Q-"&amp;TEXT(ROW()-3,"000"),"")</f>
        <v/>
      </c>
      <c r="B30" s="42" t="n"/>
      <c r="C30" s="42" t="n"/>
      <c r="D30" s="42" t="n"/>
      <c r="E30" s="42" t="n"/>
      <c r="F30" s="43">
        <f>IF(E30&lt;&gt;"",E30*B2/100,"")</f>
        <v/>
      </c>
      <c r="G30" s="43">
        <f>IF(E30&lt;&gt;"",E30*D2/100,"")</f>
        <v/>
      </c>
      <c r="H30" s="43">
        <f>IF(E30&lt;&gt;"",E30*F2/100,"")</f>
        <v/>
      </c>
      <c r="I30" s="44">
        <f>IF(E30&lt;&gt;"",E30+F30+G30+H30,"")</f>
        <v/>
      </c>
      <c r="J30" s="45">
        <f>IF(E30&lt;&gt;"",H2,"")</f>
        <v/>
      </c>
      <c r="K30" s="46">
        <f>IF(I30&lt;&gt;"",I30*J30,"")</f>
        <v/>
      </c>
      <c r="L30" s="42" t="n"/>
      <c r="M30" s="42" t="n"/>
      <c r="N30" s="47">
        <f>IF(AND(K30&lt;&gt;"",L30&lt;&gt;""),(L30-K30)/L30,"")</f>
        <v/>
      </c>
      <c r="O30" s="48">
        <f>IF(N30&lt;&gt;"",N30-J2/100-L2/100,"")</f>
        <v/>
      </c>
      <c r="P30" s="42" t="n"/>
      <c r="Q30" s="42" t="n"/>
      <c r="R30" s="42" t="n"/>
      <c r="S30" s="42" t="n"/>
      <c r="T30" s="42" t="n"/>
    </row>
    <row r="31" ht="18" customHeight="1">
      <c r="A31" s="49">
        <f>IF(B31&lt;&gt;"","Q-"&amp;TEXT(ROW()-3,"000"),"")</f>
        <v/>
      </c>
      <c r="B31" s="50" t="n"/>
      <c r="C31" s="50" t="n"/>
      <c r="D31" s="50" t="n"/>
      <c r="E31" s="50" t="n"/>
      <c r="F31" s="51">
        <f>IF(E31&lt;&gt;"",E31*B2/100,"")</f>
        <v/>
      </c>
      <c r="G31" s="51">
        <f>IF(E31&lt;&gt;"",E31*D2/100,"")</f>
        <v/>
      </c>
      <c r="H31" s="51">
        <f>IF(E31&lt;&gt;"",E31*F2/100,"")</f>
        <v/>
      </c>
      <c r="I31" s="44">
        <f>IF(E31&lt;&gt;"",E31+F31+G31+H31,"")</f>
        <v/>
      </c>
      <c r="J31" s="52">
        <f>IF(E31&lt;&gt;"",H2,"")</f>
        <v/>
      </c>
      <c r="K31" s="46">
        <f>IF(I31&lt;&gt;"",I31*J31,"")</f>
        <v/>
      </c>
      <c r="L31" s="50" t="n"/>
      <c r="M31" s="50" t="n"/>
      <c r="N31" s="47">
        <f>IF(AND(K31&lt;&gt;"",L31&lt;&gt;""),(L31-K31)/L31,"")</f>
        <v/>
      </c>
      <c r="O31" s="53">
        <f>IF(N31&lt;&gt;"",N31-J2/100-L2/100,"")</f>
        <v/>
      </c>
      <c r="P31" s="50" t="n"/>
      <c r="Q31" s="50" t="n"/>
      <c r="R31" s="50" t="n"/>
      <c r="S31" s="50" t="n"/>
      <c r="T31" s="50" t="n"/>
    </row>
    <row r="32" ht="18" customHeight="1">
      <c r="A32" s="41">
        <f>IF(B32&lt;&gt;"","Q-"&amp;TEXT(ROW()-3,"000"),"")</f>
        <v/>
      </c>
      <c r="B32" s="42" t="n"/>
      <c r="C32" s="42" t="n"/>
      <c r="D32" s="42" t="n"/>
      <c r="E32" s="42" t="n"/>
      <c r="F32" s="43">
        <f>IF(E32&lt;&gt;"",E32*B2/100,"")</f>
        <v/>
      </c>
      <c r="G32" s="43">
        <f>IF(E32&lt;&gt;"",E32*D2/100,"")</f>
        <v/>
      </c>
      <c r="H32" s="43">
        <f>IF(E32&lt;&gt;"",E32*F2/100,"")</f>
        <v/>
      </c>
      <c r="I32" s="44">
        <f>IF(E32&lt;&gt;"",E32+F32+G32+H32,"")</f>
        <v/>
      </c>
      <c r="J32" s="45">
        <f>IF(E32&lt;&gt;"",H2,"")</f>
        <v/>
      </c>
      <c r="K32" s="46">
        <f>IF(I32&lt;&gt;"",I32*J32,"")</f>
        <v/>
      </c>
      <c r="L32" s="42" t="n"/>
      <c r="M32" s="42" t="n"/>
      <c r="N32" s="47">
        <f>IF(AND(K32&lt;&gt;"",L32&lt;&gt;""),(L32-K32)/L32,"")</f>
        <v/>
      </c>
      <c r="O32" s="48">
        <f>IF(N32&lt;&gt;"",N32-J2/100-L2/100,"")</f>
        <v/>
      </c>
      <c r="P32" s="42" t="n"/>
      <c r="Q32" s="42" t="n"/>
      <c r="R32" s="42" t="n"/>
      <c r="S32" s="42" t="n"/>
      <c r="T32" s="42" t="n"/>
    </row>
    <row r="33" ht="18" customHeight="1">
      <c r="A33" s="49">
        <f>IF(B33&lt;&gt;"","Q-"&amp;TEXT(ROW()-3,"000"),"")</f>
        <v/>
      </c>
      <c r="B33" s="50" t="n"/>
      <c r="C33" s="50" t="n"/>
      <c r="D33" s="50" t="n"/>
      <c r="E33" s="50" t="n"/>
      <c r="F33" s="51">
        <f>IF(E33&lt;&gt;"",E33*B2/100,"")</f>
        <v/>
      </c>
      <c r="G33" s="51">
        <f>IF(E33&lt;&gt;"",E33*D2/100,"")</f>
        <v/>
      </c>
      <c r="H33" s="51">
        <f>IF(E33&lt;&gt;"",E33*F2/100,"")</f>
        <v/>
      </c>
      <c r="I33" s="44">
        <f>IF(E33&lt;&gt;"",E33+F33+G33+H33,"")</f>
        <v/>
      </c>
      <c r="J33" s="52">
        <f>IF(E33&lt;&gt;"",H2,"")</f>
        <v/>
      </c>
      <c r="K33" s="46">
        <f>IF(I33&lt;&gt;"",I33*J33,"")</f>
        <v/>
      </c>
      <c r="L33" s="50" t="n"/>
      <c r="M33" s="50" t="n"/>
      <c r="N33" s="47">
        <f>IF(AND(K33&lt;&gt;"",L33&lt;&gt;""),(L33-K33)/L33,"")</f>
        <v/>
      </c>
      <c r="O33" s="53">
        <f>IF(N33&lt;&gt;"",N33-J2/100-L2/100,"")</f>
        <v/>
      </c>
      <c r="P33" s="50" t="n"/>
      <c r="Q33" s="50" t="n"/>
      <c r="R33" s="50" t="n"/>
      <c r="S33" s="50" t="n"/>
      <c r="T33" s="50" t="n"/>
    </row>
    <row r="36">
      <c r="A36" s="54" t="inlineStr">
        <is>
          <t>SUMMARY — Best Quote per SKU</t>
        </is>
      </c>
    </row>
    <row r="37">
      <c r="A37" s="55" t="inlineStr">
        <is>
          <t>Best FOB (all quotes):</t>
        </is>
      </c>
      <c r="B37" s="56">
        <f>IFERROR(MIN(E4:E33),"No quotes yet")</f>
        <v/>
      </c>
    </row>
    <row r="38">
      <c r="A38" s="55" t="inlineStr">
        <is>
          <t>Best Gross Margin (all):</t>
        </is>
      </c>
      <c r="B38" s="57">
        <f>IFERROR(MAX(N4:N33),"No quotes yet")</f>
        <v/>
      </c>
    </row>
    <row r="39">
      <c r="A39" s="55" t="inlineStr">
        <is>
          <t>Worst FOB (all quotes):</t>
        </is>
      </c>
      <c r="B39" s="58">
        <f>IFERROR(MAX(E4:E33),"No quotes yet")</f>
        <v/>
      </c>
    </row>
  </sheetData>
  <mergeCells count="2">
    <mergeCell ref="A1:P1"/>
    <mergeCell ref="A36:T36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BFA97A"/>
    <outlinePr summaryBelow="1" summaryRight="1"/>
    <pageSetUpPr/>
  </sheetPr>
  <dimension ref="A1:L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6" customHeight="1">
      <c r="A1" s="21" t="inlineStr">
        <is>
          <t>LIONNA™ — FOB → Door-to-Door Cost Calculator · All SKUs</t>
        </is>
      </c>
    </row>
    <row r="2" ht="14" customHeight="1">
      <c r="A2" s="3" t="inlineStr">
        <is>
          <t>Freight %</t>
        </is>
      </c>
      <c r="B2" s="3" t="inlineStr">
        <is>
          <t>Import Duty %</t>
        </is>
      </c>
      <c r="C2" s="3" t="inlineStr">
        <is>
          <t>QC &amp; Misc %</t>
        </is>
      </c>
      <c r="D2" s="3" t="inlineStr">
        <is>
          <t>USD/BRL Rate</t>
        </is>
      </c>
      <c r="E2" s="3" t="inlineStr">
        <is>
          <t>Platform %</t>
        </is>
      </c>
      <c r="F2" s="3" t="inlineStr">
        <is>
          <t>Returns %</t>
        </is>
      </c>
    </row>
    <row r="3" ht="20" customHeight="1">
      <c r="A3" s="59" t="n">
        <v>18</v>
      </c>
      <c r="B3" s="59" t="n">
        <v>20</v>
      </c>
      <c r="C3" s="59" t="n">
        <v>8</v>
      </c>
      <c r="D3" s="59" t="n">
        <v>5.2</v>
      </c>
      <c r="E3" s="59" t="n">
        <v>12</v>
      </c>
      <c r="F3" s="59" t="n">
        <v>8</v>
      </c>
    </row>
    <row r="4" ht="10" customHeight="1"/>
    <row r="5" ht="30" customHeight="1">
      <c r="A5" s="12" t="inlineStr">
        <is>
          <t>SKU</t>
        </is>
      </c>
      <c r="B5" s="12" t="inlineStr">
        <is>
          <t>Style Name</t>
        </is>
      </c>
      <c r="C5" s="12" t="inlineStr">
        <is>
          <t>Moment</t>
        </is>
      </c>
      <c r="D5" s="12" t="inlineStr">
        <is>
          <t>FOB (USD)
Enter here</t>
        </is>
      </c>
      <c r="E5" s="12" t="inlineStr">
        <is>
          <t>Freight
(=FOB×B3%)</t>
        </is>
      </c>
      <c r="F5" s="12" t="inlineStr">
        <is>
          <t>Duty
(=FOB×C3%)</t>
        </is>
      </c>
      <c r="G5" s="12" t="inlineStr">
        <is>
          <t>QC
(=FOB×D3%)</t>
        </is>
      </c>
      <c r="H5" s="12" t="inlineStr">
        <is>
          <t>Landed
(USD)</t>
        </is>
      </c>
      <c r="I5" s="12" t="inlineStr">
        <is>
          <t>Landed
(R$)</t>
        </is>
      </c>
      <c r="J5" s="12" t="inlineStr">
        <is>
          <t>Retail Min
(R$)</t>
        </is>
      </c>
      <c r="K5" s="12" t="inlineStr">
        <is>
          <t>Gross Margin
%</t>
        </is>
      </c>
      <c r="L5" s="12" t="inlineStr">
        <is>
          <t>Net Margin
%</t>
        </is>
      </c>
    </row>
    <row r="6" ht="17" customHeight="1">
      <c r="A6" s="60" t="inlineStr">
        <is>
          <t>01</t>
        </is>
      </c>
      <c r="B6" s="7" t="inlineStr">
        <is>
          <t>High-Waist Sculpt Legging</t>
        </is>
      </c>
      <c r="C6" s="8" t="inlineStr">
        <is>
          <t>Studio</t>
        </is>
      </c>
      <c r="D6" s="59" t="n"/>
      <c r="E6" s="61">
        <f>IF(D6&lt;&gt;"",D6*$B$3/100,"")</f>
        <v/>
      </c>
      <c r="F6" s="61">
        <f>IF(D6&lt;&gt;"",D6*$C$3/100,"")</f>
        <v/>
      </c>
      <c r="G6" s="61">
        <f>IF(D6&lt;&gt;"",D6*$D$3/100,"")</f>
        <v/>
      </c>
      <c r="H6" s="62">
        <f>IF(D6&lt;&gt;"",D6+E6+F6+G6,"")</f>
        <v/>
      </c>
      <c r="I6" s="63">
        <f>IF(H6&lt;&gt;"",H6*$E$3,"")</f>
        <v/>
      </c>
      <c r="J6" s="64" t="n">
        <v>209</v>
      </c>
      <c r="K6" s="65">
        <f>IF(AND(I6&lt;&gt;"",J6&lt;&gt;""),(J6-I6)/J6,"")</f>
        <v/>
      </c>
      <c r="L6" s="66">
        <f>IF(K6&lt;&gt;"",K6-$F$3/100-$G$3/100,"")</f>
        <v/>
      </c>
    </row>
    <row r="7" ht="17" customHeight="1">
      <c r="A7" s="67" t="inlineStr">
        <is>
          <t>02</t>
        </is>
      </c>
      <c r="B7" s="9" t="inlineStr">
        <is>
          <t>Legging Soft Sculpt</t>
        </is>
      </c>
      <c r="C7" s="10" t="inlineStr">
        <is>
          <t>Studio</t>
        </is>
      </c>
      <c r="D7" s="59" t="n"/>
      <c r="E7" s="68">
        <f>IF(D7&lt;&gt;"",D7*$B$3/100,"")</f>
        <v/>
      </c>
      <c r="F7" s="68">
        <f>IF(D7&lt;&gt;"",D7*$C$3/100,"")</f>
        <v/>
      </c>
      <c r="G7" s="68">
        <f>IF(D7&lt;&gt;"",D7*$D$3/100,"")</f>
        <v/>
      </c>
      <c r="H7" s="62">
        <f>IF(D7&lt;&gt;"",D7+E7+F7+G7,"")</f>
        <v/>
      </c>
      <c r="I7" s="63">
        <f>IF(H7&lt;&gt;"",H7*$E$3,"")</f>
        <v/>
      </c>
      <c r="J7" s="69" t="n">
        <v>204</v>
      </c>
      <c r="K7" s="65">
        <f>IF(AND(I7&lt;&gt;"",J7&lt;&gt;""),(J7-I7)/J7,"")</f>
        <v/>
      </c>
      <c r="L7" s="70">
        <f>IF(K7&lt;&gt;"",K7-$F$3/100-$G$3/100,"")</f>
        <v/>
      </c>
    </row>
    <row r="8" ht="17" customHeight="1">
      <c r="A8" s="60" t="inlineStr">
        <is>
          <t>03</t>
        </is>
      </c>
      <c r="B8" s="7" t="inlineStr">
        <is>
          <t>Sculpt Bra · Level 1</t>
        </is>
      </c>
      <c r="C8" s="8" t="inlineStr">
        <is>
          <t>Studio</t>
        </is>
      </c>
      <c r="D8" s="59" t="n"/>
      <c r="E8" s="61">
        <f>IF(D8&lt;&gt;"",D8*$B$3/100,"")</f>
        <v/>
      </c>
      <c r="F8" s="61">
        <f>IF(D8&lt;&gt;"",D8*$C$3/100,"")</f>
        <v/>
      </c>
      <c r="G8" s="61">
        <f>IF(D8&lt;&gt;"",D8*$D$3/100,"")</f>
        <v/>
      </c>
      <c r="H8" s="62">
        <f>IF(D8&lt;&gt;"",D8+E8+F8+G8,"")</f>
        <v/>
      </c>
      <c r="I8" s="63">
        <f>IF(H8&lt;&gt;"",H8*$E$3,"")</f>
        <v/>
      </c>
      <c r="J8" s="64" t="n">
        <v>149</v>
      </c>
      <c r="K8" s="65">
        <f>IF(AND(I8&lt;&gt;"",J8&lt;&gt;""),(J8-I8)/J8,"")</f>
        <v/>
      </c>
      <c r="L8" s="66">
        <f>IF(K8&lt;&gt;"",K8-$F$3/100-$G$3/100,"")</f>
        <v/>
      </c>
    </row>
    <row r="9" ht="17" customHeight="1">
      <c r="A9" s="67" t="inlineStr">
        <is>
          <t>04</t>
        </is>
      </c>
      <c r="B9" s="9" t="inlineStr">
        <is>
          <t>Support Top · Level 2</t>
        </is>
      </c>
      <c r="C9" s="10" t="inlineStr">
        <is>
          <t>Studio</t>
        </is>
      </c>
      <c r="D9" s="59" t="n"/>
      <c r="E9" s="68">
        <f>IF(D9&lt;&gt;"",D9*$B$3/100,"")</f>
        <v/>
      </c>
      <c r="F9" s="68">
        <f>IF(D9&lt;&gt;"",D9*$C$3/100,"")</f>
        <v/>
      </c>
      <c r="G9" s="68">
        <f>IF(D9&lt;&gt;"",D9*$D$3/100,"")</f>
        <v/>
      </c>
      <c r="H9" s="62">
        <f>IF(D9&lt;&gt;"",D9+E9+F9+G9,"")</f>
        <v/>
      </c>
      <c r="I9" s="63">
        <f>IF(H9&lt;&gt;"",H9*$E$3,"")</f>
        <v/>
      </c>
      <c r="J9" s="69" t="n">
        <v>169</v>
      </c>
      <c r="K9" s="65">
        <f>IF(AND(I9&lt;&gt;"",J9&lt;&gt;""),(J9-I9)/J9,"")</f>
        <v/>
      </c>
      <c r="L9" s="70">
        <f>IF(K9&lt;&gt;"",K9-$F$3/100-$G$3/100,"")</f>
        <v/>
      </c>
    </row>
    <row r="10" ht="17" customHeight="1">
      <c r="A10" s="60" t="inlineStr">
        <is>
          <t>05</t>
        </is>
      </c>
      <c r="B10" s="7" t="inlineStr">
        <is>
          <t>Urban Biker Short</t>
        </is>
      </c>
      <c r="C10" s="8" t="inlineStr">
        <is>
          <t>Morning Move</t>
        </is>
      </c>
      <c r="D10" s="59" t="n"/>
      <c r="E10" s="61">
        <f>IF(D10&lt;&gt;"",D10*$B$3/100,"")</f>
        <v/>
      </c>
      <c r="F10" s="61">
        <f>IF(D10&lt;&gt;"",D10*$C$3/100,"")</f>
        <v/>
      </c>
      <c r="G10" s="61">
        <f>IF(D10&lt;&gt;"",D10*$D$3/100,"")</f>
        <v/>
      </c>
      <c r="H10" s="62">
        <f>IF(D10&lt;&gt;"",D10+E10+F10+G10,"")</f>
        <v/>
      </c>
      <c r="I10" s="63">
        <f>IF(H10&lt;&gt;"",H10*$E$3,"")</f>
        <v/>
      </c>
      <c r="J10" s="64" t="n">
        <v>169</v>
      </c>
      <c r="K10" s="65">
        <f>IF(AND(I10&lt;&gt;"",J10&lt;&gt;""),(J10-I10)/J10,"")</f>
        <v/>
      </c>
      <c r="L10" s="66">
        <f>IF(K10&lt;&gt;"",K10-$F$3/100-$G$3/100,"")</f>
        <v/>
      </c>
    </row>
    <row r="11" ht="17" customHeight="1">
      <c r="A11" s="67" t="inlineStr">
        <is>
          <t>06</t>
        </is>
      </c>
      <c r="B11" s="9" t="inlineStr">
        <is>
          <t>Premium Ribbed Tank</t>
        </is>
      </c>
      <c r="C11" s="10" t="inlineStr">
        <is>
          <t>Morning Move</t>
        </is>
      </c>
      <c r="D11" s="59" t="n"/>
      <c r="E11" s="68">
        <f>IF(D11&lt;&gt;"",D11*$B$3/100,"")</f>
        <v/>
      </c>
      <c r="F11" s="68">
        <f>IF(D11&lt;&gt;"",D11*$C$3/100,"")</f>
        <v/>
      </c>
      <c r="G11" s="68">
        <f>IF(D11&lt;&gt;"",D11*$D$3/100,"")</f>
        <v/>
      </c>
      <c r="H11" s="62">
        <f>IF(D11&lt;&gt;"",D11+E11+F11+G11,"")</f>
        <v/>
      </c>
      <c r="I11" s="63">
        <f>IF(H11&lt;&gt;"",H11*$E$3,"")</f>
        <v/>
      </c>
      <c r="J11" s="69" t="n">
        <v>129</v>
      </c>
      <c r="K11" s="65">
        <f>IF(AND(I11&lt;&gt;"",J11&lt;&gt;""),(J11-I11)/J11,"")</f>
        <v/>
      </c>
      <c r="L11" s="70">
        <f>IF(K11&lt;&gt;"",K11-$F$3/100-$G$3/100,"")</f>
        <v/>
      </c>
    </row>
    <row r="12" ht="17" customHeight="1">
      <c r="A12" s="60" t="inlineStr">
        <is>
          <t>07</t>
        </is>
      </c>
      <c r="B12" s="7" t="inlineStr">
        <is>
          <t>Long Tank / Regata Soft</t>
        </is>
      </c>
      <c r="C12" s="8" t="inlineStr">
        <is>
          <t>Morning Move</t>
        </is>
      </c>
      <c r="D12" s="59" t="n"/>
      <c r="E12" s="61">
        <f>IF(D12&lt;&gt;"",D12*$B$3/100,"")</f>
        <v/>
      </c>
      <c r="F12" s="61">
        <f>IF(D12&lt;&gt;"",D12*$C$3/100,"")</f>
        <v/>
      </c>
      <c r="G12" s="61">
        <f>IF(D12&lt;&gt;"",D12*$D$3/100,"")</f>
        <v/>
      </c>
      <c r="H12" s="62">
        <f>IF(D12&lt;&gt;"",D12+E12+F12+G12,"")</f>
        <v/>
      </c>
      <c r="I12" s="63">
        <f>IF(H12&lt;&gt;"",H12*$E$3,"")</f>
        <v/>
      </c>
      <c r="J12" s="64" t="n">
        <v>139</v>
      </c>
      <c r="K12" s="65">
        <f>IF(AND(I12&lt;&gt;"",J12&lt;&gt;""),(J12-I12)/J12,"")</f>
        <v/>
      </c>
      <c r="L12" s="66">
        <f>IF(K12&lt;&gt;"",K12-$F$3/100-$G$3/100,"")</f>
        <v/>
      </c>
    </row>
    <row r="13" ht="17" customHeight="1">
      <c r="A13" s="67" t="inlineStr">
        <is>
          <t>08</t>
        </is>
      </c>
      <c r="B13" s="9" t="inlineStr">
        <is>
          <t>Cropped Windbreaker / Clubhouse Layer</t>
        </is>
      </c>
      <c r="C13" s="10" t="inlineStr">
        <is>
          <t>Morning Move</t>
        </is>
      </c>
      <c r="D13" s="59" t="n"/>
      <c r="E13" s="68">
        <f>IF(D13&lt;&gt;"",D13*$B$3/100,"")</f>
        <v/>
      </c>
      <c r="F13" s="68">
        <f>IF(D13&lt;&gt;"",D13*$C$3/100,"")</f>
        <v/>
      </c>
      <c r="G13" s="68">
        <f>IF(D13&lt;&gt;"",D13*$D$3/100,"")</f>
        <v/>
      </c>
      <c r="H13" s="62">
        <f>IF(D13&lt;&gt;"",D13+E13+F13+G13,"")</f>
        <v/>
      </c>
      <c r="I13" s="63">
        <f>IF(H13&lt;&gt;"",H13*$E$3,"")</f>
        <v/>
      </c>
      <c r="J13" s="69" t="n">
        <v>289</v>
      </c>
      <c r="K13" s="65">
        <f>IF(AND(I13&lt;&gt;"",J13&lt;&gt;""),(J13-I13)/J13,"")</f>
        <v/>
      </c>
      <c r="L13" s="70">
        <f>IF(K13&lt;&gt;"",K13-$F$3/100-$G$3/100,"")</f>
        <v/>
      </c>
    </row>
    <row r="14" ht="17" customHeight="1">
      <c r="A14" s="60" t="inlineStr">
        <is>
          <t>09</t>
        </is>
      </c>
      <c r="B14" s="7" t="inlineStr">
        <is>
          <t>Wide-Leg Active Pant</t>
        </is>
      </c>
      <c r="C14" s="8" t="inlineStr">
        <is>
          <t>The Work</t>
        </is>
      </c>
      <c r="D14" s="59" t="n"/>
      <c r="E14" s="61">
        <f>IF(D14&lt;&gt;"",D14*$B$3/100,"")</f>
        <v/>
      </c>
      <c r="F14" s="61">
        <f>IF(D14&lt;&gt;"",D14*$C$3/100,"")</f>
        <v/>
      </c>
      <c r="G14" s="61">
        <f>IF(D14&lt;&gt;"",D14*$D$3/100,"")</f>
        <v/>
      </c>
      <c r="H14" s="62">
        <f>IF(D14&lt;&gt;"",D14+E14+F14+G14,"")</f>
        <v/>
      </c>
      <c r="I14" s="63">
        <f>IF(H14&lt;&gt;"",H14*$E$3,"")</f>
        <v/>
      </c>
      <c r="J14" s="64" t="n">
        <v>244</v>
      </c>
      <c r="K14" s="65">
        <f>IF(AND(I14&lt;&gt;"",J14&lt;&gt;""),(J14-I14)/J14,"")</f>
        <v/>
      </c>
      <c r="L14" s="66">
        <f>IF(K14&lt;&gt;"",K14-$F$3/100-$G$3/100,"")</f>
        <v/>
      </c>
    </row>
    <row r="15" ht="17" customHeight="1">
      <c r="A15" s="67" t="inlineStr">
        <is>
          <t>10</t>
        </is>
      </c>
      <c r="B15" s="9" t="inlineStr">
        <is>
          <t>Straight-Leg Active Pant</t>
        </is>
      </c>
      <c r="C15" s="10" t="inlineStr">
        <is>
          <t>The Work</t>
        </is>
      </c>
      <c r="D15" s="59" t="n"/>
      <c r="E15" s="68">
        <f>IF(D15&lt;&gt;"",D15*$B$3/100,"")</f>
        <v/>
      </c>
      <c r="F15" s="68">
        <f>IF(D15&lt;&gt;"",D15*$C$3/100,"")</f>
        <v/>
      </c>
      <c r="G15" s="68">
        <f>IF(D15&lt;&gt;"",D15*$D$3/100,"")</f>
        <v/>
      </c>
      <c r="H15" s="62">
        <f>IF(D15&lt;&gt;"",D15+E15+F15+G15,"")</f>
        <v/>
      </c>
      <c r="I15" s="63">
        <f>IF(H15&lt;&gt;"",H15*$E$3,"")</f>
        <v/>
      </c>
      <c r="J15" s="69" t="n">
        <v>229</v>
      </c>
      <c r="K15" s="65">
        <f>IF(AND(I15&lt;&gt;"",J15&lt;&gt;""),(J15-I15)/J15,"")</f>
        <v/>
      </c>
      <c r="L15" s="70">
        <f>IF(K15&lt;&gt;"",K15-$F$3/100-$G$3/100,"")</f>
        <v/>
      </c>
    </row>
    <row r="16" ht="17" customHeight="1">
      <c r="A16" s="60" t="inlineStr">
        <is>
          <t>11</t>
        </is>
      </c>
      <c r="B16" s="7" t="inlineStr">
        <is>
          <t>Saia-Short Fluida</t>
        </is>
      </c>
      <c r="C16" s="8" t="inlineStr">
        <is>
          <t>Club &amp; Court</t>
        </is>
      </c>
      <c r="D16" s="59" t="n"/>
      <c r="E16" s="61">
        <f>IF(D16&lt;&gt;"",D16*$B$3/100,"")</f>
        <v/>
      </c>
      <c r="F16" s="61">
        <f>IF(D16&lt;&gt;"",D16*$C$3/100,"")</f>
        <v/>
      </c>
      <c r="G16" s="61">
        <f>IF(D16&lt;&gt;"",D16*$D$3/100,"")</f>
        <v/>
      </c>
      <c r="H16" s="62">
        <f>IF(D16&lt;&gt;"",D16+E16+F16+G16,"")</f>
        <v/>
      </c>
      <c r="I16" s="63">
        <f>IF(H16&lt;&gt;"",H16*$E$3,"")</f>
        <v/>
      </c>
      <c r="J16" s="64" t="n">
        <v>194</v>
      </c>
      <c r="K16" s="65">
        <f>IF(AND(I16&lt;&gt;"",J16&lt;&gt;""),(J16-I16)/J16,"")</f>
        <v/>
      </c>
      <c r="L16" s="66">
        <f>IF(K16&lt;&gt;"",K16-$F$3/100-$G$3/100,"")</f>
        <v/>
      </c>
    </row>
    <row r="17" ht="17" customHeight="1">
      <c r="A17" s="67" t="inlineStr">
        <is>
          <t>12</t>
        </is>
      </c>
      <c r="B17" s="9" t="inlineStr">
        <is>
          <t>Short Relaxed Urbano</t>
        </is>
      </c>
      <c r="C17" s="10" t="inlineStr">
        <is>
          <t>Club &amp; Court</t>
        </is>
      </c>
      <c r="D17" s="59" t="n"/>
      <c r="E17" s="68">
        <f>IF(D17&lt;&gt;"",D17*$B$3/100,"")</f>
        <v/>
      </c>
      <c r="F17" s="68">
        <f>IF(D17&lt;&gt;"",D17*$C$3/100,"")</f>
        <v/>
      </c>
      <c r="G17" s="68">
        <f>IF(D17&lt;&gt;"",D17*$D$3/100,"")</f>
        <v/>
      </c>
      <c r="H17" s="62">
        <f>IF(D17&lt;&gt;"",D17+E17+F17+G17,"")</f>
        <v/>
      </c>
      <c r="I17" s="63">
        <f>IF(H17&lt;&gt;"",H17*$E$3,"")</f>
        <v/>
      </c>
      <c r="J17" s="69" t="n">
        <v>169</v>
      </c>
      <c r="K17" s="65">
        <f>IF(AND(I17&lt;&gt;"",J17&lt;&gt;""),(J17-I17)/J17,"")</f>
        <v/>
      </c>
      <c r="L17" s="70">
        <f>IF(K17&lt;&gt;"",K17-$F$3/100-$G$3/100,"")</f>
        <v/>
      </c>
    </row>
    <row r="18" ht="17" customHeight="1">
      <c r="A18" s="60" t="inlineStr">
        <is>
          <t>13</t>
        </is>
      </c>
      <c r="B18" s="7" t="inlineStr">
        <is>
          <t>Lightweight Bomber Jacket</t>
        </is>
      </c>
      <c r="C18" s="8" t="inlineStr">
        <is>
          <t>Club &amp; Court</t>
        </is>
      </c>
      <c r="D18" s="59" t="n"/>
      <c r="E18" s="61">
        <f>IF(D18&lt;&gt;"",D18*$B$3/100,"")</f>
        <v/>
      </c>
      <c r="F18" s="61">
        <f>IF(D18&lt;&gt;"",D18*$C$3/100,"")</f>
        <v/>
      </c>
      <c r="G18" s="61">
        <f>IF(D18&lt;&gt;"",D18*$D$3/100,"")</f>
        <v/>
      </c>
      <c r="H18" s="62">
        <f>IF(D18&lt;&gt;"",D18+E18+F18+G18,"")</f>
        <v/>
      </c>
      <c r="I18" s="63">
        <f>IF(H18&lt;&gt;"",H18*$E$3,"")</f>
        <v/>
      </c>
      <c r="J18" s="64" t="n">
        <v>399</v>
      </c>
      <c r="K18" s="65">
        <f>IF(AND(I18&lt;&gt;"",J18&lt;&gt;""),(J18-I18)/J18,"")</f>
        <v/>
      </c>
      <c r="L18" s="66">
        <f>IF(K18&lt;&gt;"",K18-$F$3/100-$G$3/100,"")</f>
        <v/>
      </c>
    </row>
    <row r="19" ht="17" customHeight="1">
      <c r="A19" s="67" t="inlineStr">
        <is>
          <t>14</t>
        </is>
      </c>
      <c r="B19" s="9" t="inlineStr">
        <is>
          <t>The Movement Suit (Jumpsuit)</t>
        </is>
      </c>
      <c r="C19" s="10" t="inlineStr">
        <is>
          <t>After &amp; Away</t>
        </is>
      </c>
      <c r="D19" s="59" t="n"/>
      <c r="E19" s="68">
        <f>IF(D19&lt;&gt;"",D19*$B$3/100,"")</f>
        <v/>
      </c>
      <c r="F19" s="68">
        <f>IF(D19&lt;&gt;"",D19*$C$3/100,"")</f>
        <v/>
      </c>
      <c r="G19" s="68">
        <f>IF(D19&lt;&gt;"",D19*$D$3/100,"")</f>
        <v/>
      </c>
      <c r="H19" s="62">
        <f>IF(D19&lt;&gt;"",D19+E19+F19+G19,"")</f>
        <v/>
      </c>
      <c r="I19" s="63">
        <f>IF(H19&lt;&gt;"",H19*$E$3,"")</f>
        <v/>
      </c>
      <c r="J19" s="69" t="n">
        <v>379</v>
      </c>
      <c r="K19" s="65">
        <f>IF(AND(I19&lt;&gt;"",J19&lt;&gt;""),(J19-I19)/J19,"")</f>
        <v/>
      </c>
      <c r="L19" s="70">
        <f>IF(K19&lt;&gt;"",K19-$F$3/100-$G$3/100,"")</f>
        <v/>
      </c>
    </row>
    <row r="20" ht="17" customHeight="1">
      <c r="A20" s="71" t="inlineStr">
        <is>
          <t>ACC</t>
        </is>
      </c>
      <c r="B20" s="7" t="inlineStr">
        <is>
          <t>Coverage Skirt (Accessory)</t>
        </is>
      </c>
      <c r="C20" s="8" t="inlineStr">
        <is>
          <t>After &amp; Away</t>
        </is>
      </c>
      <c r="D20" s="59" t="n"/>
      <c r="E20" s="61">
        <f>IF(D20&lt;&gt;"",D20*$B$3/100,"")</f>
        <v/>
      </c>
      <c r="F20" s="61">
        <f>IF(D20&lt;&gt;"",D20*$C$3/100,"")</f>
        <v/>
      </c>
      <c r="G20" s="61">
        <f>IF(D20&lt;&gt;"",D20*$D$3/100,"")</f>
        <v/>
      </c>
      <c r="H20" s="62">
        <f>IF(D20&lt;&gt;"",D20+E20+F20+G20,"")</f>
        <v/>
      </c>
      <c r="I20" s="63">
        <f>IF(H20&lt;&gt;"",H20*$E$3,"")</f>
        <v/>
      </c>
      <c r="J20" s="64" t="n">
        <v>149</v>
      </c>
      <c r="K20" s="65">
        <f>IF(AND(I20&lt;&gt;"",J20&lt;&gt;""),(J20-I20)/J20,"")</f>
        <v/>
      </c>
      <c r="L20" s="66">
        <f>IF(K20&lt;&gt;"",K20-$F$3/100-$G$3/100,"")</f>
        <v/>
      </c>
    </row>
  </sheetData>
  <mergeCells count="1">
    <mergeCell ref="A1:L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tabColor rgb="00BFA97A"/>
    <outlinePr summaryBelow="1" summaryRight="1"/>
    <pageSetUpPr fitToPage="1"/>
  </sheetPr>
  <dimension ref="A1:L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6" customWidth="1" min="3" max="3"/>
    <col width="6" customWidth="1" min="4" max="4"/>
    <col width="24" customWidth="1" min="5" max="5"/>
    <col width="10" customWidth="1" min="6" max="6"/>
    <col width="10" customWidth="1" min="7" max="7"/>
    <col width="12" customWidth="1" min="8" max="8"/>
    <col width="12" customWidth="1" min="9" max="9"/>
    <col width="34" customWidth="1" min="10" max="10"/>
    <col width="20" customWidth="1" min="11" max="11"/>
    <col width="12" customWidth="1" min="12" max="12"/>
  </cols>
  <sheetData>
    <row r="1" ht="26" customHeight="1">
      <c r="A1" s="21" t="inlineStr">
        <is>
          <t>LIONNA™ — Phase 1 Capsule Collection · SS27 · 5 Moments</t>
        </is>
      </c>
    </row>
    <row r="2" ht="20" customHeight="1">
      <c r="A2" s="12" t="inlineStr">
        <is>
          <t>SKU#</t>
        </is>
      </c>
      <c r="B2" s="12" t="inlineStr">
        <is>
          <t>Style Name</t>
        </is>
      </c>
      <c r="C2" s="12" t="inlineStr">
        <is>
          <t>Moment / Drop</t>
        </is>
      </c>
      <c r="D2" s="12" t="inlineStr">
        <is>
          <t>Tier</t>
        </is>
      </c>
      <c r="E2" s="12" t="inlineStr">
        <is>
          <t>Colors</t>
        </is>
      </c>
      <c r="F2" s="12" t="inlineStr">
        <is>
          <t>PCS/Color</t>
        </is>
      </c>
      <c r="G2" s="12" t="inlineStr">
        <is>
          <t>Total Units</t>
        </is>
      </c>
      <c r="H2" s="12" t="inlineStr">
        <is>
          <t>Retail Min (R$)</t>
        </is>
      </c>
      <c r="I2" s="12" t="inlineStr">
        <is>
          <t>Retail Max (R$)</t>
        </is>
      </c>
      <c r="J2" s="12" t="inlineStr">
        <is>
          <t>Fabric</t>
        </is>
      </c>
      <c r="K2" s="12" t="inlineStr">
        <is>
          <t>Assigned Supplier</t>
        </is>
      </c>
      <c r="L2" s="12" t="inlineStr">
        <is>
          <t>Status</t>
        </is>
      </c>
    </row>
    <row r="3" ht="17" customHeight="1">
      <c r="A3" s="72" t="inlineStr">
        <is>
          <t>01</t>
        </is>
      </c>
      <c r="B3" s="73" t="inlineStr">
        <is>
          <t>High-Waist Sculpt Legging</t>
        </is>
      </c>
      <c r="C3" s="73" t="inlineStr">
        <is>
          <t>Studio</t>
        </is>
      </c>
      <c r="D3" s="74" t="inlineStr">
        <is>
          <t>A</t>
        </is>
      </c>
      <c r="E3" s="73" t="inlineStr">
        <is>
          <t>Onyx·Ivory·Stone·Charcoal</t>
        </is>
      </c>
      <c r="F3" s="74" t="n">
        <v>50</v>
      </c>
      <c r="G3" s="74" t="n">
        <v>200</v>
      </c>
      <c r="H3" s="75" t="n">
        <v>189</v>
      </c>
      <c r="I3" s="75" t="n">
        <v>239</v>
      </c>
      <c r="J3" s="73" t="inlineStr">
        <is>
          <t>78% Nylon 22% Spandex · GSM 250–280</t>
        </is>
      </c>
      <c r="K3" s="73" t="inlineStr">
        <is>
          <t>EnovStars</t>
        </is>
      </c>
      <c r="L3" s="72" t="inlineStr">
        <is>
          <t>Sourced</t>
        </is>
      </c>
    </row>
    <row r="4" ht="17" customHeight="1">
      <c r="A4" s="72" t="inlineStr">
        <is>
          <t>02</t>
        </is>
      </c>
      <c r="B4" s="73" t="inlineStr">
        <is>
          <t>Legging Soft Sculpt</t>
        </is>
      </c>
      <c r="C4" s="73" t="inlineStr">
        <is>
          <t>Studio</t>
        </is>
      </c>
      <c r="D4" s="74" t="inlineStr">
        <is>
          <t>A</t>
        </is>
      </c>
      <c r="E4" s="73" t="inlineStr">
        <is>
          <t>Onyx·Stone·Ivory·Charcoal</t>
        </is>
      </c>
      <c r="F4" s="74" t="n">
        <v>50</v>
      </c>
      <c r="G4" s="74" t="n">
        <v>200</v>
      </c>
      <c r="H4" s="75" t="n">
        <v>179</v>
      </c>
      <c r="I4" s="75" t="n">
        <v>229</v>
      </c>
      <c r="J4" s="73" t="inlineStr">
        <is>
          <t>78% Nylon 22% Spandex · GSM 220–250</t>
        </is>
      </c>
      <c r="K4" s="73" t="inlineStr">
        <is>
          <t>EnovStars</t>
        </is>
      </c>
      <c r="L4" s="72" t="inlineStr">
        <is>
          <t>Sourced</t>
        </is>
      </c>
    </row>
    <row r="5" ht="17" customHeight="1">
      <c r="A5" s="72" t="inlineStr">
        <is>
          <t>03</t>
        </is>
      </c>
      <c r="B5" s="73" t="inlineStr">
        <is>
          <t>Sculpt Bra · Level 1</t>
        </is>
      </c>
      <c r="C5" s="73" t="inlineStr">
        <is>
          <t>Studio</t>
        </is>
      </c>
      <c r="D5" s="74" t="inlineStr">
        <is>
          <t>B</t>
        </is>
      </c>
      <c r="E5" s="73" t="inlineStr">
        <is>
          <t>Onyx·Ivory</t>
        </is>
      </c>
      <c r="F5" s="74" t="n">
        <v>100</v>
      </c>
      <c r="G5" s="74" t="n">
        <v>200</v>
      </c>
      <c r="H5" s="75" t="n">
        <v>129</v>
      </c>
      <c r="I5" s="75" t="n">
        <v>169</v>
      </c>
      <c r="J5" s="73" t="inlineStr">
        <is>
          <t>78% Nylon 22% Spandex · GSM 180–220</t>
        </is>
      </c>
      <c r="K5" s="73" t="inlineStr">
        <is>
          <t>Crossback Bra #5</t>
        </is>
      </c>
      <c r="L5" s="76" t="inlineStr">
        <is>
          <t>Pending</t>
        </is>
      </c>
    </row>
    <row r="6" ht="17" customHeight="1">
      <c r="A6" s="72" t="inlineStr">
        <is>
          <t>04</t>
        </is>
      </c>
      <c r="B6" s="73" t="inlineStr">
        <is>
          <t>Support Top · Level 2</t>
        </is>
      </c>
      <c r="C6" s="73" t="inlineStr">
        <is>
          <t>Studio</t>
        </is>
      </c>
      <c r="D6" s="74" t="inlineStr">
        <is>
          <t>B</t>
        </is>
      </c>
      <c r="E6" s="73" t="inlineStr">
        <is>
          <t>Onyx·Stone</t>
        </is>
      </c>
      <c r="F6" s="74" t="n">
        <v>100</v>
      </c>
      <c r="G6" s="74" t="n">
        <v>200</v>
      </c>
      <c r="H6" s="75" t="n">
        <v>149</v>
      </c>
      <c r="I6" s="75" t="n">
        <v>189</v>
      </c>
      <c r="J6" s="73" t="inlineStr">
        <is>
          <t>78% Nylon 22% Spandex · GSM 200–240</t>
        </is>
      </c>
      <c r="K6" s="73" t="inlineStr">
        <is>
          <t>Crossback Bra #5</t>
        </is>
      </c>
      <c r="L6" s="76" t="inlineStr">
        <is>
          <t>Pending</t>
        </is>
      </c>
    </row>
    <row r="7" ht="17" customHeight="1">
      <c r="A7" s="77" t="inlineStr">
        <is>
          <t>05</t>
        </is>
      </c>
      <c r="B7" s="78" t="inlineStr">
        <is>
          <t>Urban Biker Short</t>
        </is>
      </c>
      <c r="C7" s="78" t="inlineStr">
        <is>
          <t>Morning Move</t>
        </is>
      </c>
      <c r="D7" s="79" t="inlineStr">
        <is>
          <t>A</t>
        </is>
      </c>
      <c r="E7" s="78" t="inlineStr">
        <is>
          <t>Onyx·Stone·Ivory·Charcoal</t>
        </is>
      </c>
      <c r="F7" s="79" t="n">
        <v>50</v>
      </c>
      <c r="G7" s="79" t="n">
        <v>200</v>
      </c>
      <c r="H7" s="80" t="n">
        <v>149</v>
      </c>
      <c r="I7" s="80" t="n">
        <v>189</v>
      </c>
      <c r="J7" s="78" t="inlineStr">
        <is>
          <t>78% Nylon 22% Spandex · GSM 220–260</t>
        </is>
      </c>
      <c r="K7" s="78" t="inlineStr">
        <is>
          <t>Anti-Exposure #15</t>
        </is>
      </c>
      <c r="L7" s="77" t="inlineStr">
        <is>
          <t>Contacted</t>
        </is>
      </c>
    </row>
    <row r="8" ht="17" customHeight="1">
      <c r="A8" s="77" t="inlineStr">
        <is>
          <t>06</t>
        </is>
      </c>
      <c r="B8" s="78" t="inlineStr">
        <is>
          <t>Premium Ribbed Tank</t>
        </is>
      </c>
      <c r="C8" s="78" t="inlineStr">
        <is>
          <t>Morning Move</t>
        </is>
      </c>
      <c r="D8" s="79" t="inlineStr">
        <is>
          <t>B</t>
        </is>
      </c>
      <c r="E8" s="78" t="inlineStr">
        <is>
          <t>Onyx·Ivory</t>
        </is>
      </c>
      <c r="F8" s="79" t="n">
        <v>100</v>
      </c>
      <c r="G8" s="79" t="n">
        <v>200</v>
      </c>
      <c r="H8" s="80" t="n">
        <v>109</v>
      </c>
      <c r="I8" s="80" t="n">
        <v>149</v>
      </c>
      <c r="J8" s="78" t="inlineStr">
        <is>
          <t>90% Nylon 10% Spandex Ribbed</t>
        </is>
      </c>
      <c r="K8" s="78" t="inlineStr">
        <is>
          <t>EnovStars</t>
        </is>
      </c>
      <c r="L8" s="77" t="inlineStr">
        <is>
          <t>Sourced</t>
        </is>
      </c>
    </row>
    <row r="9" ht="17" customHeight="1">
      <c r="A9" s="77" t="inlineStr">
        <is>
          <t>07</t>
        </is>
      </c>
      <c r="B9" s="78" t="inlineStr">
        <is>
          <t>Long Tank / Regata Soft</t>
        </is>
      </c>
      <c r="C9" s="78" t="inlineStr">
        <is>
          <t>Morning Move</t>
        </is>
      </c>
      <c r="D9" s="79" t="inlineStr">
        <is>
          <t>B</t>
        </is>
      </c>
      <c r="E9" s="78" t="inlineStr">
        <is>
          <t>Onyx·Stone</t>
        </is>
      </c>
      <c r="F9" s="79" t="n">
        <v>100</v>
      </c>
      <c r="G9" s="79" t="n">
        <v>200</v>
      </c>
      <c r="H9" s="80" t="n">
        <v>119</v>
      </c>
      <c r="I9" s="80" t="n">
        <v>159</v>
      </c>
      <c r="J9" s="78" t="inlineStr">
        <is>
          <t>90% Nylon 10% Spandex Ribbed</t>
        </is>
      </c>
      <c r="K9" s="78" t="inlineStr">
        <is>
          <t>EnovStars</t>
        </is>
      </c>
      <c r="L9" s="77" t="inlineStr">
        <is>
          <t>Sourced</t>
        </is>
      </c>
    </row>
    <row r="10" ht="17" customHeight="1">
      <c r="A10" s="77" t="inlineStr">
        <is>
          <t>08</t>
        </is>
      </c>
      <c r="B10" s="78" t="inlineStr">
        <is>
          <t>Cropped Windbreaker / Clubhouse Layer</t>
        </is>
      </c>
      <c r="C10" s="78" t="inlineStr">
        <is>
          <t>Morning Move</t>
        </is>
      </c>
      <c r="D10" s="79" t="inlineStr">
        <is>
          <t>B</t>
        </is>
      </c>
      <c r="E10" s="78" t="inlineStr">
        <is>
          <t>Stone·Ivory</t>
        </is>
      </c>
      <c r="F10" s="79" t="n">
        <v>100</v>
      </c>
      <c r="G10" s="79" t="n">
        <v>200</v>
      </c>
      <c r="H10" s="80" t="n">
        <v>249</v>
      </c>
      <c r="I10" s="80" t="n">
        <v>329</v>
      </c>
      <c r="J10" s="78" t="inlineStr">
        <is>
          <t>Nylon/Spandex · Stand collar · Zip</t>
        </is>
      </c>
      <c r="K10" s="78" t="inlineStr">
        <is>
          <t>Clubhouse #13</t>
        </is>
      </c>
      <c r="L10" s="76" t="inlineStr">
        <is>
          <t>Pending</t>
        </is>
      </c>
    </row>
    <row r="11" ht="17" customHeight="1">
      <c r="A11" s="76" t="inlineStr">
        <is>
          <t>09</t>
        </is>
      </c>
      <c r="B11" s="81" t="inlineStr">
        <is>
          <t>Wide-Leg Active Pant</t>
        </is>
      </c>
      <c r="C11" s="81" t="inlineStr">
        <is>
          <t>The Work</t>
        </is>
      </c>
      <c r="D11" s="82" t="inlineStr">
        <is>
          <t>C</t>
        </is>
      </c>
      <c r="E11" s="81" t="inlineStr">
        <is>
          <t>Onyx·Stone</t>
        </is>
      </c>
      <c r="F11" s="82" t="n">
        <v>50</v>
      </c>
      <c r="G11" s="82" t="n">
        <v>100</v>
      </c>
      <c r="H11" s="83" t="n">
        <v>219</v>
      </c>
      <c r="I11" s="83" t="n">
        <v>269</v>
      </c>
      <c r="J11" s="81" t="inlineStr">
        <is>
          <t>95% Poly 5% Spandex Woven Tech</t>
        </is>
      </c>
      <c r="K11" s="81" t="inlineStr">
        <is>
          <t>AlOe #16</t>
        </is>
      </c>
      <c r="L11" s="76" t="inlineStr">
        <is>
          <t>Sourced</t>
        </is>
      </c>
    </row>
    <row r="12" ht="17" customHeight="1">
      <c r="A12" s="76" t="inlineStr">
        <is>
          <t>10</t>
        </is>
      </c>
      <c r="B12" s="81" t="inlineStr">
        <is>
          <t>Straight-Leg Active Pant</t>
        </is>
      </c>
      <c r="C12" s="81" t="inlineStr">
        <is>
          <t>The Work</t>
        </is>
      </c>
      <c r="D12" s="82" t="inlineStr">
        <is>
          <t>C</t>
        </is>
      </c>
      <c r="E12" s="81" t="inlineStr">
        <is>
          <t>Onyx·Charcoal</t>
        </is>
      </c>
      <c r="F12" s="82" t="n">
        <v>50</v>
      </c>
      <c r="G12" s="82" t="n">
        <v>100</v>
      </c>
      <c r="H12" s="83" t="n">
        <v>199</v>
      </c>
      <c r="I12" s="83" t="n">
        <v>259</v>
      </c>
      <c r="J12" s="81" t="inlineStr">
        <is>
          <t>Nylon/Spandex OR tech poly</t>
        </is>
      </c>
      <c r="K12" s="81" t="inlineStr">
        <is>
          <t>FITVOLT #17</t>
        </is>
      </c>
      <c r="L12" s="76" t="inlineStr">
        <is>
          <t>Sourced</t>
        </is>
      </c>
    </row>
    <row r="13" ht="17" customHeight="1">
      <c r="A13" s="84" t="inlineStr">
        <is>
          <t>11</t>
        </is>
      </c>
      <c r="B13" s="85" t="inlineStr">
        <is>
          <t>Saia-Short Fluida</t>
        </is>
      </c>
      <c r="C13" s="85" t="inlineStr">
        <is>
          <t>Club &amp; Court</t>
        </is>
      </c>
      <c r="D13" s="86" t="inlineStr">
        <is>
          <t>C</t>
        </is>
      </c>
      <c r="E13" s="85" t="inlineStr">
        <is>
          <t>Ivory·Onyx</t>
        </is>
      </c>
      <c r="F13" s="86" t="n">
        <v>50</v>
      </c>
      <c r="G13" s="86" t="n">
        <v>100</v>
      </c>
      <c r="H13" s="87" t="n">
        <v>169</v>
      </c>
      <c r="I13" s="87" t="n">
        <v>219</v>
      </c>
      <c r="J13" s="85" t="inlineStr">
        <is>
          <t>Woven stretch OR nylon/spandex</t>
        </is>
      </c>
      <c r="K13" s="85" t="inlineStr">
        <is>
          <t>QUMOR #30</t>
        </is>
      </c>
      <c r="L13" s="76" t="inlineStr">
        <is>
          <t>Pending</t>
        </is>
      </c>
    </row>
    <row r="14" ht="17" customHeight="1">
      <c r="A14" s="84" t="inlineStr">
        <is>
          <t>12</t>
        </is>
      </c>
      <c r="B14" s="85" t="inlineStr">
        <is>
          <t>Short Relaxed Urbano</t>
        </is>
      </c>
      <c r="C14" s="85" t="inlineStr">
        <is>
          <t>Club &amp; Court</t>
        </is>
      </c>
      <c r="D14" s="86" t="inlineStr">
        <is>
          <t>C</t>
        </is>
      </c>
      <c r="E14" s="85" t="inlineStr">
        <is>
          <t>Onyx·Stone</t>
        </is>
      </c>
      <c r="F14" s="86" t="n">
        <v>50</v>
      </c>
      <c r="G14" s="86" t="n">
        <v>100</v>
      </c>
      <c r="H14" s="87" t="n">
        <v>149</v>
      </c>
      <c r="I14" s="87" t="n">
        <v>189</v>
      </c>
      <c r="J14" s="85" t="inlineStr">
        <is>
          <t>78% Nylon 22% Spandex OR light woven</t>
        </is>
      </c>
      <c r="K14" s="85" t="inlineStr">
        <is>
          <t>Anti-Exposure #15</t>
        </is>
      </c>
      <c r="L14" s="77" t="inlineStr">
        <is>
          <t>Contacted</t>
        </is>
      </c>
    </row>
    <row r="15" ht="17" customHeight="1">
      <c r="A15" s="84" t="inlineStr">
        <is>
          <t>13</t>
        </is>
      </c>
      <c r="B15" s="85" t="inlineStr">
        <is>
          <t>Lightweight Bomber Jacket</t>
        </is>
      </c>
      <c r="C15" s="85" t="inlineStr">
        <is>
          <t>Club &amp; Court</t>
        </is>
      </c>
      <c r="D15" s="86" t="inlineStr">
        <is>
          <t>C</t>
        </is>
      </c>
      <c r="E15" s="85" t="inlineStr">
        <is>
          <t>Stone·Onyx</t>
        </is>
      </c>
      <c r="F15" s="86" t="n">
        <v>50</v>
      </c>
      <c r="G15" s="86" t="n">
        <v>100</v>
      </c>
      <c r="H15" s="87" t="n">
        <v>349</v>
      </c>
      <c r="I15" s="87" t="n">
        <v>449</v>
      </c>
      <c r="J15" s="85" t="inlineStr">
        <is>
          <t>Scuba/Ponte 70% Poly 25% Nylon 5% Spandex</t>
        </is>
      </c>
      <c r="K15" s="85" t="inlineStr">
        <is>
          <t>EnovStars</t>
        </is>
      </c>
      <c r="L15" s="84" t="inlineStr">
        <is>
          <t>Sourced</t>
        </is>
      </c>
    </row>
    <row r="16" ht="17" customHeight="1">
      <c r="A16" s="88" t="inlineStr">
        <is>
          <t>14</t>
        </is>
      </c>
      <c r="B16" s="89" t="inlineStr">
        <is>
          <t>The Movement Suit (Jumpsuit)</t>
        </is>
      </c>
      <c r="C16" s="89" t="inlineStr">
        <is>
          <t>After &amp; Away</t>
        </is>
      </c>
      <c r="D16" s="90" t="inlineStr">
        <is>
          <t>C</t>
        </is>
      </c>
      <c r="E16" s="89" t="inlineStr">
        <is>
          <t>Luminous Blue·Onyx</t>
        </is>
      </c>
      <c r="F16" s="90" t="n">
        <v>50</v>
      </c>
      <c r="G16" s="90" t="n">
        <v>100</v>
      </c>
      <c r="H16" s="91" t="n">
        <v>329</v>
      </c>
      <c r="I16" s="91" t="n">
        <v>429</v>
      </c>
      <c r="J16" s="89" t="inlineStr">
        <is>
          <t>78% Nylon 22% Spandex Matte</t>
        </is>
      </c>
      <c r="K16" s="89" t="inlineStr">
        <is>
          <t>Tennis Jumpsuit #24</t>
        </is>
      </c>
      <c r="L16" s="88" t="inlineStr">
        <is>
          <t>Sourced</t>
        </is>
      </c>
    </row>
    <row r="17" ht="17" customHeight="1">
      <c r="A17" s="88" t="inlineStr">
        <is>
          <t>ACC</t>
        </is>
      </c>
      <c r="B17" s="89" t="inlineStr">
        <is>
          <t>Coverage Skirt (Accessory)</t>
        </is>
      </c>
      <c r="C17" s="89" t="inlineStr">
        <is>
          <t>After &amp; Away</t>
        </is>
      </c>
      <c r="D17" s="90" t="inlineStr">
        <is>
          <t>ACC</t>
        </is>
      </c>
      <c r="E17" s="89" t="inlineStr">
        <is>
          <t>Onyx·Stone</t>
        </is>
      </c>
      <c r="F17" s="90" t="n">
        <v>50</v>
      </c>
      <c r="G17" s="90" t="n">
        <v>100</v>
      </c>
      <c r="H17" s="91" t="n">
        <v>129</v>
      </c>
      <c r="I17" s="91" t="n">
        <v>169</v>
      </c>
      <c r="J17" s="89" t="inlineStr">
        <is>
          <t>Fluid woven OR nylon GSM 120–150</t>
        </is>
      </c>
      <c r="K17" s="89" t="inlineStr">
        <is>
          <t>EnovStars</t>
        </is>
      </c>
      <c r="L17" s="88" t="inlineStr">
        <is>
          <t>Sourced</t>
        </is>
      </c>
    </row>
    <row r="18" ht="20" customHeight="1">
      <c r="A18" s="92" t="inlineStr">
        <is>
          <t>PHASE 1 TOTAL</t>
        </is>
      </c>
      <c r="B18" s="93" t="n"/>
      <c r="C18" s="93" t="n"/>
      <c r="D18" s="93" t="n"/>
      <c r="E18" s="94" t="n"/>
      <c r="F18" s="95" t="n"/>
      <c r="G18" s="96">
        <f>SUM(G3:G17)</f>
        <v/>
      </c>
      <c r="H18" s="92" t="inlineStr">
        <is>
          <t>Est. GMV R$450k–720k at sell-through</t>
        </is>
      </c>
      <c r="I18" s="93" t="n"/>
      <c r="J18" s="93" t="n"/>
      <c r="K18" s="93" t="n"/>
      <c r="L18" s="94" t="n"/>
    </row>
  </sheetData>
  <mergeCells count="3">
    <mergeCell ref="H18:L18"/>
    <mergeCell ref="A18:E18"/>
    <mergeCell ref="A1:L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8A7040"/>
    <outlinePr summaryBelow="1" summaryRight="1"/>
    <pageSetUpPr/>
  </sheetPr>
  <dimension ref="A1:I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40" customWidth="1" min="3" max="3"/>
    <col width="38" customWidth="1" min="4" max="4"/>
    <col width="30" customWidth="1" min="5" max="5"/>
    <col width="12" customWidth="1" min="6" max="6"/>
  </cols>
  <sheetData>
    <row r="1" ht="26" customHeight="1">
      <c r="A1" s="21" t="inlineStr">
        <is>
          <t>LIONNA™ — Fabric Library · Approved Materials · Golden Rules</t>
        </is>
      </c>
    </row>
    <row r="2" ht="18" customHeight="1">
      <c r="A2" s="97" t="inlineStr">
        <is>
          <t>Fabric Name</t>
        </is>
      </c>
      <c r="B2" s="97" t="inlineStr">
        <is>
          <t>Composition</t>
        </is>
      </c>
      <c r="C2" s="97" t="inlineStr">
        <is>
          <t>GSM Min</t>
        </is>
      </c>
      <c r="D2" s="97" t="inlineStr">
        <is>
          <t>GSM Max</t>
        </is>
      </c>
      <c r="E2" s="97" t="inlineStr">
        <is>
          <t>SKUs Assigned</t>
        </is>
      </c>
      <c r="F2" s="97" t="inlineStr">
        <is>
          <t>Mill/Supplier</t>
        </is>
      </c>
      <c r="G2" s="97" t="inlineStr">
        <is>
          <t>Oeko-Tex</t>
        </is>
      </c>
      <c r="H2" s="97" t="inlineStr">
        <is>
          <t>Recycled Pref.</t>
        </is>
      </c>
      <c r="I2" s="97" t="inlineStr">
        <is>
          <t>Notes</t>
        </is>
      </c>
    </row>
    <row r="3" ht="17" customHeight="1">
      <c r="A3" s="98" t="inlineStr">
        <is>
          <t>Performance Nylon/Spandex</t>
        </is>
      </c>
      <c r="B3" s="98" t="inlineStr">
        <is>
          <t>78% Polyamide · 22% Elastane</t>
        </is>
      </c>
      <c r="C3" s="99" t="n">
        <v>250</v>
      </c>
      <c r="D3" s="99" t="n">
        <v>280</v>
      </c>
      <c r="E3" s="98" t="inlineStr">
        <is>
          <t>01,02,05,12,14</t>
        </is>
      </c>
      <c r="F3" s="98" t="inlineStr">
        <is>
          <t>Mill TBD</t>
        </is>
      </c>
      <c r="G3" s="100" t="inlineStr">
        <is>
          <t>Yes</t>
        </is>
      </c>
      <c r="H3" s="99" t="inlineStr">
        <is>
          <t>Preferred</t>
        </is>
      </c>
      <c r="I3" s="98" t="inlineStr">
        <is>
          <t>Hero fabric. Naked Feel variant. Squat-proof required.</t>
        </is>
      </c>
    </row>
    <row r="4" ht="17" customHeight="1">
      <c r="A4" s="101" t="inlineStr">
        <is>
          <t>Soft Sculpt Nylon</t>
        </is>
      </c>
      <c r="B4" s="101" t="inlineStr">
        <is>
          <t>78% Polyamide · 22% Elastane</t>
        </is>
      </c>
      <c r="C4" s="102" t="n">
        <v>220</v>
      </c>
      <c r="D4" s="102" t="n">
        <v>250</v>
      </c>
      <c r="E4" s="101" t="inlineStr">
        <is>
          <t>02</t>
        </is>
      </c>
      <c r="F4" s="101" t="inlineStr">
        <is>
          <t>Mill TBD</t>
        </is>
      </c>
      <c r="G4" s="100" t="inlineStr">
        <is>
          <t>Yes</t>
        </is>
      </c>
      <c r="H4" s="102" t="inlineStr">
        <is>
          <t>Preferred</t>
        </is>
      </c>
      <c r="I4" s="101" t="inlineStr">
        <is>
          <t>Medium compression only. Wider front panel. Postpartum-friendly.</t>
        </is>
      </c>
    </row>
    <row r="5" ht="17" customHeight="1">
      <c r="A5" s="98" t="inlineStr">
        <is>
          <t>Ribbed Performance Knit</t>
        </is>
      </c>
      <c r="B5" s="98" t="inlineStr">
        <is>
          <t>90% Nylon · 10% Spandex</t>
        </is>
      </c>
      <c r="C5" s="99" t="n">
        <v>170</v>
      </c>
      <c r="D5" s="99" t="n">
        <v>190</v>
      </c>
      <c r="E5" s="98" t="inlineStr">
        <is>
          <t>03,06,07</t>
        </is>
      </c>
      <c r="F5" s="98" t="inlineStr">
        <is>
          <t>Mill TBD</t>
        </is>
      </c>
      <c r="G5" s="100" t="inlineStr">
        <is>
          <t>Yes</t>
        </is>
      </c>
      <c r="H5" s="99" t="inlineStr">
        <is>
          <t>Optional</t>
        </is>
      </c>
      <c r="I5" s="98" t="inlineStr">
        <is>
          <t>Refined rib texture. Must retain structure after 30 washes.</t>
        </is>
      </c>
    </row>
    <row r="6" ht="17" customHeight="1">
      <c r="A6" s="101" t="inlineStr">
        <is>
          <t>Woven Stretch Tech</t>
        </is>
      </c>
      <c r="B6" s="101" t="inlineStr">
        <is>
          <t>95% Polyester · 5% Spandex</t>
        </is>
      </c>
      <c r="C6" s="102" t="n">
        <v>140</v>
      </c>
      <c r="D6" s="102" t="n">
        <v>160</v>
      </c>
      <c r="E6" s="101" t="inlineStr">
        <is>
          <t>09,11</t>
        </is>
      </c>
      <c r="F6" s="101" t="inlineStr">
        <is>
          <t>Mill TBD</t>
        </is>
      </c>
      <c r="G6" s="102" t="inlineStr">
        <is>
          <t>No</t>
        </is>
      </c>
      <c r="H6" s="102" t="inlineStr">
        <is>
          <t>Optional</t>
        </is>
      </c>
      <c r="I6" s="101" t="inlineStr">
        <is>
          <t>Wide-leg pant and saia-short. Fluid drape essential.</t>
        </is>
      </c>
    </row>
    <row r="7" ht="17" customHeight="1">
      <c r="A7" s="98" t="inlineStr">
        <is>
          <t>Scuba / Ponte Knit</t>
        </is>
      </c>
      <c r="B7" s="98" t="inlineStr">
        <is>
          <t>70% Poly · 25% Nylon · 5% Spandex</t>
        </is>
      </c>
      <c r="C7" s="99" t="n">
        <v>280</v>
      </c>
      <c r="D7" s="99" t="n">
        <v>320</v>
      </c>
      <c r="E7" s="98" t="inlineStr">
        <is>
          <t>13</t>
        </is>
      </c>
      <c r="F7" s="98" t="inlineStr">
        <is>
          <t>Mill TBD</t>
        </is>
      </c>
      <c r="G7" s="99" t="inlineStr">
        <is>
          <t>No</t>
        </is>
      </c>
      <c r="H7" s="99" t="inlineStr">
        <is>
          <t>Optional</t>
        </is>
      </c>
      <c r="I7" s="98" t="inlineStr">
        <is>
          <t>Bomber jacket. Structured smooth surface. Holds shape.</t>
        </is>
      </c>
    </row>
    <row r="8" ht="17" customHeight="1">
      <c r="A8" s="101" t="inlineStr">
        <is>
          <t>Fluid Cover Fabric</t>
        </is>
      </c>
      <c r="B8" s="101" t="inlineStr">
        <is>
          <t>95% Poly · 5% Spandex woven</t>
        </is>
      </c>
      <c r="C8" s="102" t="n">
        <v>120</v>
      </c>
      <c r="D8" s="102" t="n">
        <v>140</v>
      </c>
      <c r="E8" s="101" t="inlineStr">
        <is>
          <t>ACC</t>
        </is>
      </c>
      <c r="F8" s="101" t="inlineStr">
        <is>
          <t>Mill TBD</t>
        </is>
      </c>
      <c r="G8" s="102" t="inlineStr">
        <is>
          <t>No</t>
        </is>
      </c>
      <c r="H8" s="102" t="inlineStr">
        <is>
          <t>Optional</t>
        </is>
      </c>
      <c r="I8" s="101" t="inlineStr">
        <is>
          <t>Coverage skirt. Fluid drape. Fully opaque.</t>
        </is>
      </c>
    </row>
    <row r="10" ht="10" customHeight="1"/>
    <row r="11" ht="20" customHeight="1">
      <c r="A11" s="54" t="inlineStr">
        <is>
          <t>10 GOLDEN RULES — Mandatory Quality Standards (Pass/Fail Gate)</t>
        </is>
      </c>
    </row>
    <row r="12" ht="16" customHeight="1">
      <c r="A12" s="103" t="inlineStr">
        <is>
          <t>#</t>
        </is>
      </c>
      <c r="B12" s="103" t="inlineStr">
        <is>
          <t>Rule</t>
        </is>
      </c>
      <c r="C12" s="103" t="inlineStr">
        <is>
          <t>Specification</t>
        </is>
      </c>
      <c r="D12" s="103" t="inlineStr">
        <is>
          <t>Mandatory Test</t>
        </is>
      </c>
      <c r="E12" s="103" t="inlineStr">
        <is>
          <t>Evidence Required</t>
        </is>
      </c>
    </row>
    <row r="13" ht="16" customHeight="1">
      <c r="A13" s="104" t="inlineStr">
        <is>
          <t>01</t>
        </is>
      </c>
      <c r="B13" s="105" t="inlineStr">
        <is>
          <t>Zero Transparency</t>
        </is>
      </c>
      <c r="C13" s="106" t="inlineStr">
        <is>
          <t>No visibility at 100% stretch, flash, or back-light</t>
        </is>
      </c>
      <c r="D13" s="106" t="inlineStr">
        <is>
          <t>Squat + flash photo + back-light on lightest colorway</t>
        </is>
      </c>
      <c r="E13" s="106" t="inlineStr">
        <is>
          <t>Photo evidence + written pass</t>
        </is>
      </c>
      <c r="F13" s="107" t="inlineStr">
        <is>
          <t>PASS / FAIL</t>
        </is>
      </c>
    </row>
    <row r="14" ht="16" customHeight="1">
      <c r="A14" s="108" t="inlineStr">
        <is>
          <t>02</t>
        </is>
      </c>
      <c r="B14" s="109" t="inlineStr">
        <is>
          <t>No Body Marking</t>
        </is>
      </c>
      <c r="C14" s="110" t="inlineStr">
        <is>
          <t>No cellulite/underwear/sweat on medium tones</t>
        </is>
      </c>
      <c r="D14" s="110" t="inlineStr">
        <is>
          <t>On-body test · 3 body types · 30 min activity</t>
        </is>
      </c>
      <c r="E14" s="110" t="inlineStr">
        <is>
          <t>Photo before/after + measurement</t>
        </is>
      </c>
      <c r="F14" s="107" t="inlineStr">
        <is>
          <t>PASS / FAIL</t>
        </is>
      </c>
    </row>
    <row r="15" ht="16" customHeight="1">
      <c r="A15" s="104" t="inlineStr">
        <is>
          <t>03</t>
        </is>
      </c>
      <c r="B15" s="105" t="inlineStr">
        <is>
          <t>Reinforced Seams</t>
        </is>
      </c>
      <c r="C15" s="106" t="inlineStr">
        <is>
          <t>Flatlock · 500-cycle stress test · no fraying</t>
        </is>
      </c>
      <c r="D15" s="106" t="inlineStr">
        <is>
          <t>Machine stress test · glute + inner thigh</t>
        </is>
      </c>
      <c r="E15" s="106" t="inlineStr">
        <is>
          <t>500-cycle test certificate</t>
        </is>
      </c>
      <c r="F15" s="107" t="inlineStr">
        <is>
          <t>PASS / FAIL</t>
        </is>
      </c>
    </row>
    <row r="16" ht="16" customHeight="1">
      <c r="A16" s="108" t="inlineStr">
        <is>
          <t>04</t>
        </is>
      </c>
      <c r="B16" s="109" t="inlineStr">
        <is>
          <t>Premium Fabric</t>
        </is>
      </c>
      <c r="C16" s="110" t="inlineStr">
        <is>
          <t>Nylon/spandex priority · Mill cert required</t>
        </is>
      </c>
      <c r="D16" s="110" t="inlineStr">
        <is>
          <t>Oeko-Tex 100 or REACH confirmation</t>
        </is>
      </c>
      <c r="E16" s="110" t="inlineStr">
        <is>
          <t>Mill certificate + lab report</t>
        </is>
      </c>
      <c r="F16" s="107" t="inlineStr">
        <is>
          <t>PASS / FAIL</t>
        </is>
      </c>
    </row>
    <row r="17" ht="16" customHeight="1">
      <c r="A17" s="104" t="inlineStr">
        <is>
          <t>05</t>
        </is>
      </c>
      <c r="B17" s="105" t="inlineStr">
        <is>
          <t>Anatomical Waistband</t>
        </is>
      </c>
      <c r="C17" s="106" t="inlineStr">
        <is>
          <t>8cm min · no rolling · grip strip inside</t>
        </is>
      </c>
      <c r="D17" s="106" t="inlineStr">
        <is>
          <t>30-min movement test · must not shift or squeeze</t>
        </is>
      </c>
      <c r="E17" s="106" t="inlineStr">
        <is>
          <t>Video + photo before/after</t>
        </is>
      </c>
      <c r="F17" s="107" t="inlineStr">
        <is>
          <t>PASS / FAIL</t>
        </is>
      </c>
    </row>
    <row r="18" ht="16" customHeight="1">
      <c r="A18" s="108" t="inlineStr">
        <is>
          <t>06</t>
        </is>
      </c>
      <c r="B18" s="109" t="inlineStr">
        <is>
          <t>Anti-Pilling</t>
        </is>
      </c>
      <c r="C18" s="110" t="inlineStr">
        <is>
          <t>ISO 12945-2 Grade 4 min after 2,000 cycles</t>
        </is>
      </c>
      <c r="D18" s="110" t="inlineStr">
        <is>
          <t>Lab pilling resistance test</t>
        </is>
      </c>
      <c r="E18" s="110" t="inlineStr">
        <is>
          <t>ISO 12945-2 lab certificate</t>
        </is>
      </c>
      <c r="F18" s="107" t="inlineStr">
        <is>
          <t>PASS / FAIL</t>
        </is>
      </c>
    </row>
    <row r="19" ht="16" customHeight="1">
      <c r="A19" s="104" t="inlineStr">
        <is>
          <t>07</t>
        </is>
      </c>
      <c r="B19" s="105" t="inlineStr">
        <is>
          <t>Color Fastness</t>
        </is>
      </c>
      <c r="C19" s="106" t="inlineStr">
        <is>
          <t>ISO 105-C06 Grade 4–5 · no bleeding</t>
        </is>
      </c>
      <c r="D19" s="106" t="inlineStr">
        <is>
          <t>ISO 105-C06 + ISO 105-X12 lab tests</t>
        </is>
      </c>
      <c r="E19" s="106" t="inlineStr">
        <is>
          <t>Both ISO certificates</t>
        </is>
      </c>
      <c r="F19" s="107" t="inlineStr">
        <is>
          <t>PASS / FAIL</t>
        </is>
      </c>
    </row>
    <row r="20" ht="16" customHeight="1">
      <c r="A20" s="108" t="inlineStr">
        <is>
          <t>08</t>
        </is>
      </c>
      <c r="B20" s="109" t="inlineStr">
        <is>
          <t>Shape Retention</t>
        </is>
      </c>
      <c r="C20" s="110" t="inlineStr">
        <is>
          <t>ASTM D2594 ≥95% after 50% stretch</t>
        </is>
      </c>
      <c r="D20" s="110" t="inlineStr">
        <is>
          <t>Lab stretch recovery test + 60 min wear</t>
        </is>
      </c>
      <c r="E20" s="110" t="inlineStr">
        <is>
          <t>ASTM D2594 certificate + photo</t>
        </is>
      </c>
      <c r="F20" s="107" t="inlineStr">
        <is>
          <t>PASS / FAIL</t>
        </is>
      </c>
    </row>
    <row r="21" ht="16" customHeight="1">
      <c r="A21" s="104" t="inlineStr">
        <is>
          <t>09</t>
        </is>
      </c>
      <c r="B21" s="105" t="inlineStr">
        <is>
          <t>Bra Support</t>
        </is>
      </c>
      <c r="C21" s="106" t="inlineStr">
        <is>
          <t>Removable pad via pocket · never sewn in</t>
        </is>
      </c>
      <c r="D21" s="106" t="inlineStr">
        <is>
          <t>50 jumping jacks · max 2cm displacement</t>
        </is>
      </c>
      <c r="E21" s="106" t="inlineStr">
        <is>
          <t>Video test + pad pocket photo</t>
        </is>
      </c>
      <c r="F21" s="107" t="inlineStr">
        <is>
          <t>PASS / FAIL</t>
        </is>
      </c>
    </row>
    <row r="22" ht="16" customHeight="1">
      <c r="A22" s="108" t="inlineStr">
        <is>
          <t>10</t>
        </is>
      </c>
      <c r="B22" s="109" t="inlineStr">
        <is>
          <t>Sweat Management</t>
        </is>
      </c>
      <c r="C22" s="110" t="inlineStr">
        <is>
          <t>No marks &gt;5cm after 45 min on medium tones</t>
        </is>
      </c>
      <c r="D22" s="110" t="inlineStr">
        <is>
          <t>45-min cardio activity photo · panel measurement</t>
        </is>
      </c>
      <c r="E22" s="110" t="inlineStr">
        <is>
          <t>Photo evidence + measurements</t>
        </is>
      </c>
      <c r="F22" s="107" t="inlineStr">
        <is>
          <t>PASS / FAIL</t>
        </is>
      </c>
    </row>
  </sheetData>
  <mergeCells count="12">
    <mergeCell ref="A11:I11"/>
    <mergeCell ref="F17"/>
    <mergeCell ref="F15"/>
    <mergeCell ref="A1:I1"/>
    <mergeCell ref="F21"/>
    <mergeCell ref="F19"/>
    <mergeCell ref="F20"/>
    <mergeCell ref="F16"/>
    <mergeCell ref="F22"/>
    <mergeCell ref="F14"/>
    <mergeCell ref="F18"/>
    <mergeCell ref="F13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2026-06-24T15:48:54Z</dcterms:created>
  <dcterms:modified xmlns:dcterms="http://purl.org/dc/terms/" xmlns:xsi="http://www.w3.org/2001/XMLSchema-instance" xsi:type="dcterms:W3CDTF">2026-06-24T15:48:54Z</dcterms:modified>
</cp:coreProperties>
</file>